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202300"/>
  <mc:AlternateContent xmlns:mc="http://schemas.openxmlformats.org/markup-compatibility/2006">
    <mc:Choice Requires="x15">
      <x15ac:absPath xmlns:x15ac="http://schemas.microsoft.com/office/spreadsheetml/2010/11/ac" url="C:\Users\Netcom\Desktop\"/>
    </mc:Choice>
  </mc:AlternateContent>
  <xr:revisionPtr revIDLastSave="0" documentId="8_{32B6961B-55BC-4E61-A53A-3A10293F866E}" xr6:coauthVersionLast="47" xr6:coauthVersionMax="47" xr10:uidLastSave="{00000000-0000-0000-0000-000000000000}"/>
  <bookViews>
    <workbookView xWindow="-120" yWindow="-120" windowWidth="20730" windowHeight="11040" activeTab="2" xr2:uid="{36DFAA92-6823-4566-80F7-E46C2B7FEF3B}"/>
  </bookViews>
  <sheets>
    <sheet name="sales_data" sheetId="1" r:id="rId1"/>
    <sheet name="Sheet1" sheetId="2" r:id="rId2"/>
    <sheet name="Sheet2" sheetId="3" r:id="rId3"/>
  </sheets>
  <definedNames>
    <definedName name="Slicer_Payment_Method">#N/A</definedName>
    <definedName name="Slicer_Region">#N/A</definedName>
    <definedName name="Slicer_Sale_Date">#N/A</definedName>
    <definedName name="Slicer_Sales_Channel">#N/A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2" l="1"/>
  <c r="C46" i="2"/>
</calcChain>
</file>

<file path=xl/sharedStrings.xml><?xml version="1.0" encoding="utf-8"?>
<sst xmlns="http://schemas.openxmlformats.org/spreadsheetml/2006/main" count="7039" uniqueCount="63">
  <si>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</si>
  <si>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</si>
  <si>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</si>
  <si>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</si>
  <si>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</si>
  <si>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</si>
  <si>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</si>
  <si>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</si>
  <si>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</si>
  <si>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</si>
  <si>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</si>
  <si>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</si>
  <si>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</si>
  <si>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</si>
  <si>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</si>
  <si>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</si>
  <si>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</si>
  <si>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</si>
  <si>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</si>
  <si>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</si>
  <si>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</si>
  <si>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</si>
  <si>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</si>
  <si>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</si>
  <si>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</si>
  <si>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</si>
  <si>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</si>
  <si>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</si>
  <si>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</si>
  <si>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</si>
  <si>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</si>
  <si>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</si>
  <si>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</si>
  <si>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</si>
  <si>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</si>
  <si>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</si>
  <si>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</si>
  <si>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</si>
  <si>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</si>
  <si>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</si>
  <si>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</si>
  <si>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</si>
  <si>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</si>
  <si>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</si>
  <si>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</si>
  <si>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</si>
  <si>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</si>
  <si>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</si>
  <si>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</si>
  <si>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</si>
  <si>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</si>
  <si>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</si>
  <si>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</si>
  <si>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</si>
  <si>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</si>
  <si>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</si>
  <si>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Unit_Price</t>
  </si>
  <si>
    <t>2023</t>
  </si>
  <si>
    <t>2024</t>
  </si>
  <si>
    <t>Sum of Unit_Cost</t>
  </si>
  <si>
    <t>Sum of Sales_Amount</t>
  </si>
  <si>
    <t>Sum of Quantity_Sold</t>
  </si>
  <si>
    <t>Count of Customer_Type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</si>
</sst>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and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Sheet1!$A$2:$A$4</c:f>
              <c:strCache>
                <c:ptCount val="2"/>
                <c:pt idx="0">
                  <c:v>Online</c:v>
                </c:pt>
                <c:pt idx="1">
                  <c:v>Retail</c:v>
                </c:pt>
              </c:strCache>
            </c:strRef>
          </c:cat>
          <c:val>
            <c:numRef>
              <c:f>Sheet1!$B$2:$B$4</c:f>
              <c:numCache>
                <c:formatCode>General</c:formatCode>
                <c:ptCount val="2"/>
                <c:pt idx="0">
                  <c:v>1360917.6799999983</c:v>
                </c:pt>
                <c:pt idx="1">
                  <c:v>1367522.4399999985</c:v>
                </c:pt>
              </c:numCache>
            </c:numRef>
          </c:val>
          <c:extLst>
            <c:ext xmlns:c16="http://schemas.microsoft.com/office/drawing/2014/chart" uri="{C3380CC4-5D6E-409C-BE32-E72D297353CC}">
              <c16:uniqueId val="{00000000-1346-485D-86C0-B89C60E20975}"/>
            </c:ext>
          </c:extLst>
        </c:ser>
        <c:dLbls>
          <c:showLegendKey val="0"/>
          <c:showVal val="0"/>
          <c:showCatName val="0"/>
          <c:showSerName val="0"/>
          <c:showPercent val="0"/>
          <c:showBubbleSize val="0"/>
        </c:dLbls>
        <c:gapWidth val="219"/>
        <c:overlap val="-27"/>
        <c:axId val="231397440"/>
        <c:axId val="231399360"/>
      </c:barChart>
      <c:catAx>
        <c:axId val="2313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99360"/>
        <c:crosses val="autoZero"/>
        <c:auto val="1"/>
        <c:lblAlgn val="ctr"/>
        <c:lblOffset val="100"/>
        <c:noMultiLvlLbl val="0"/>
      </c:catAx>
      <c:valAx>
        <c:axId val="23139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date and unit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55-4C00-B8A5-B75299583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55-4C00-B8A5-B752995837B4}"/>
              </c:ext>
            </c:extLst>
          </c:dPt>
          <c:cat>
            <c:strRef>
              <c:f>Sheet1!$A$15:$A$17</c:f>
              <c:strCache>
                <c:ptCount val="2"/>
                <c:pt idx="0">
                  <c:v>2023</c:v>
                </c:pt>
                <c:pt idx="1">
                  <c:v>2024</c:v>
                </c:pt>
              </c:strCache>
            </c:strRef>
          </c:cat>
          <c:val>
            <c:numRef>
              <c:f>Sheet1!$B$15:$B$17</c:f>
              <c:numCache>
                <c:formatCode>General</c:formatCode>
                <c:ptCount val="2"/>
                <c:pt idx="0">
                  <c:v>2473664.9499999997</c:v>
                </c:pt>
                <c:pt idx="1">
                  <c:v>1639.6000000000001</c:v>
                </c:pt>
              </c:numCache>
            </c:numRef>
          </c:val>
          <c:extLst>
            <c:ext xmlns:c16="http://schemas.microsoft.com/office/drawing/2014/chart" uri="{C3380CC4-5D6E-409C-BE32-E72D297353CC}">
              <c16:uniqueId val="{00000000-29D0-495A-AD1D-7CE7F971FB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and sales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Sheet1!$B$22</c:f>
              <c:strCache>
                <c:ptCount val="1"/>
                <c:pt idx="0">
                  <c:v>Total</c:v>
                </c:pt>
              </c:strCache>
            </c:strRef>
          </c:tx>
          <c:spPr>
            <a:ln w="28575" cap="rnd">
              <a:solidFill>
                <a:schemeClr val="accent1"/>
              </a:solidFill>
              <a:round/>
            </a:ln>
            <a:effectLst/>
          </c:spPr>
          <c:marker>
            <c:symbol val="none"/>
          </c:marker>
          <c:cat>
            <c:strRef>
              <c:f>Sheet1!$A$23:$A$27</c:f>
              <c:strCache>
                <c:ptCount val="4"/>
                <c:pt idx="0">
                  <c:v>East</c:v>
                </c:pt>
                <c:pt idx="1">
                  <c:v>North</c:v>
                </c:pt>
                <c:pt idx="2">
                  <c:v>South</c:v>
                </c:pt>
                <c:pt idx="3">
                  <c:v>West</c:v>
                </c:pt>
              </c:strCache>
            </c:strRef>
          </c:cat>
          <c:val>
            <c:numRef>
              <c:f>Sheet1!$B$23:$B$27</c:f>
              <c:numCache>
                <c:formatCode>General</c:formatCode>
                <c:ptCount val="4"/>
                <c:pt idx="0">
                  <c:v>1259792.93</c:v>
                </c:pt>
                <c:pt idx="1">
                  <c:v>1369612.5100000009</c:v>
                </c:pt>
                <c:pt idx="2">
                  <c:v>1154250.8600000006</c:v>
                </c:pt>
                <c:pt idx="3">
                  <c:v>1235608.9299999997</c:v>
                </c:pt>
              </c:numCache>
            </c:numRef>
          </c:val>
          <c:smooth val="0"/>
          <c:extLst>
            <c:ext xmlns:c16="http://schemas.microsoft.com/office/drawing/2014/chart" uri="{C3380CC4-5D6E-409C-BE32-E72D297353CC}">
              <c16:uniqueId val="{00000000-B851-46D0-88D6-6DDC4A1E6755}"/>
            </c:ext>
          </c:extLst>
        </c:ser>
        <c:dLbls>
          <c:showLegendKey val="0"/>
          <c:showVal val="0"/>
          <c:showCatName val="0"/>
          <c:showSerName val="0"/>
          <c:showPercent val="0"/>
          <c:showBubbleSize val="0"/>
        </c:dLbls>
        <c:smooth val="0"/>
        <c:axId val="457721360"/>
        <c:axId val="457721840"/>
      </c:lineChart>
      <c:catAx>
        <c:axId val="45772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21840"/>
        <c:crosses val="autoZero"/>
        <c:auto val="1"/>
        <c:lblAlgn val="ctr"/>
        <c:lblOffset val="100"/>
        <c:noMultiLvlLbl val="0"/>
      </c:catAx>
      <c:valAx>
        <c:axId val="45772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2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and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Sheet1!$B$33</c:f>
              <c:strCache>
                <c:ptCount val="1"/>
                <c:pt idx="0">
                  <c:v>Total</c:v>
                </c:pt>
              </c:strCache>
            </c:strRef>
          </c:tx>
          <c:spPr>
            <a:solidFill>
              <a:schemeClr val="accent1"/>
            </a:solidFill>
            <a:ln>
              <a:noFill/>
            </a:ln>
            <a:effectLst/>
          </c:spPr>
          <c:invertIfNegative val="0"/>
          <c:cat>
            <c:strRef>
              <c:f>Sheet1!$A$34:$A$37</c:f>
              <c:strCache>
                <c:ptCount val="3"/>
                <c:pt idx="0">
                  <c:v>Bank Transfer</c:v>
                </c:pt>
                <c:pt idx="1">
                  <c:v>Cash</c:v>
                </c:pt>
                <c:pt idx="2">
                  <c:v>Credit Card</c:v>
                </c:pt>
              </c:strCache>
            </c:strRef>
          </c:cat>
          <c:val>
            <c:numRef>
              <c:f>Sheet1!$B$34:$B$37</c:f>
              <c:numCache>
                <c:formatCode>General</c:formatCode>
                <c:ptCount val="3"/>
                <c:pt idx="0">
                  <c:v>946760.06000000029</c:v>
                </c:pt>
                <c:pt idx="1">
                  <c:v>842257.78000000038</c:v>
                </c:pt>
                <c:pt idx="2">
                  <c:v>939422.27999999945</c:v>
                </c:pt>
              </c:numCache>
            </c:numRef>
          </c:val>
          <c:extLst>
            <c:ext xmlns:c16="http://schemas.microsoft.com/office/drawing/2014/chart" uri="{C3380CC4-5D6E-409C-BE32-E72D297353CC}">
              <c16:uniqueId val="{00000000-614D-45BA-9F2D-346FE5ACF35F}"/>
            </c:ext>
          </c:extLst>
        </c:ser>
        <c:dLbls>
          <c:showLegendKey val="0"/>
          <c:showVal val="0"/>
          <c:showCatName val="0"/>
          <c:showSerName val="0"/>
          <c:showPercent val="0"/>
          <c:showBubbleSize val="0"/>
        </c:dLbls>
        <c:gapWidth val="182"/>
        <c:axId val="459979456"/>
        <c:axId val="459968416"/>
      </c:barChart>
      <c:catAx>
        <c:axId val="45997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68416"/>
        <c:crosses val="autoZero"/>
        <c:auto val="1"/>
        <c:lblAlgn val="ctr"/>
        <c:lblOffset val="100"/>
        <c:noMultiLvlLbl val="0"/>
      </c:catAx>
      <c:valAx>
        <c:axId val="45996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7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and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Sheet1!$A$2:$A$4</c:f>
              <c:strCache>
                <c:ptCount val="2"/>
                <c:pt idx="0">
                  <c:v>Online</c:v>
                </c:pt>
                <c:pt idx="1">
                  <c:v>Retail</c:v>
                </c:pt>
              </c:strCache>
            </c:strRef>
          </c:cat>
          <c:val>
            <c:numRef>
              <c:f>Sheet1!$B$2:$B$4</c:f>
              <c:numCache>
                <c:formatCode>General</c:formatCode>
                <c:ptCount val="2"/>
                <c:pt idx="0">
                  <c:v>1360917.6799999983</c:v>
                </c:pt>
                <c:pt idx="1">
                  <c:v>1367522.4399999985</c:v>
                </c:pt>
              </c:numCache>
            </c:numRef>
          </c:val>
          <c:extLst>
            <c:ext xmlns:c16="http://schemas.microsoft.com/office/drawing/2014/chart" uri="{C3380CC4-5D6E-409C-BE32-E72D297353CC}">
              <c16:uniqueId val="{00000000-8C10-4616-8875-2FF4DAE039B2}"/>
            </c:ext>
          </c:extLst>
        </c:ser>
        <c:dLbls>
          <c:showLegendKey val="0"/>
          <c:showVal val="0"/>
          <c:showCatName val="0"/>
          <c:showSerName val="0"/>
          <c:showPercent val="0"/>
          <c:showBubbleSize val="0"/>
        </c:dLbls>
        <c:gapWidth val="219"/>
        <c:overlap val="-27"/>
        <c:axId val="231397440"/>
        <c:axId val="231399360"/>
      </c:barChart>
      <c:catAx>
        <c:axId val="2313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99360"/>
        <c:crosses val="autoZero"/>
        <c:auto val="1"/>
        <c:lblAlgn val="ctr"/>
        <c:lblOffset val="100"/>
        <c:noMultiLvlLbl val="0"/>
      </c:catAx>
      <c:valAx>
        <c:axId val="23139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date and unit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42-4277-847B-2E208B877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42-4277-847B-2E208B877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Sheet1!$A$15:$A$17</c:f>
              <c:strCache>
                <c:ptCount val="2"/>
                <c:pt idx="0">
                  <c:v>2023</c:v>
                </c:pt>
                <c:pt idx="1">
                  <c:v>2024</c:v>
                </c:pt>
              </c:strCache>
            </c:strRef>
          </c:cat>
          <c:val>
            <c:numRef>
              <c:f>Sheet1!$B$15:$B$17</c:f>
              <c:numCache>
                <c:formatCode>General</c:formatCode>
                <c:ptCount val="2"/>
                <c:pt idx="0">
                  <c:v>2473664.9499999997</c:v>
                </c:pt>
                <c:pt idx="1">
                  <c:v>1639.6000000000001</c:v>
                </c:pt>
              </c:numCache>
            </c:numRef>
          </c:val>
          <c:extLst>
            <c:ext xmlns:c16="http://schemas.microsoft.com/office/drawing/2014/chart" uri="{C3380CC4-5D6E-409C-BE32-E72D297353CC}">
              <c16:uniqueId val="{00000004-B142-4277-847B-2E208B8775E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and sales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Sheet1!$B$22</c:f>
              <c:strCache>
                <c:ptCount val="1"/>
                <c:pt idx="0">
                  <c:v>Total</c:v>
                </c:pt>
              </c:strCache>
            </c:strRef>
          </c:tx>
          <c:spPr>
            <a:ln w="28575" cap="rnd">
              <a:solidFill>
                <a:schemeClr val="accent1"/>
              </a:solidFill>
              <a:round/>
            </a:ln>
            <a:effectLst/>
          </c:spPr>
          <c:marker>
            <c:symbol val="none"/>
          </c:marker>
          <c:cat>
            <c:strRef>
              <c:f>Sheet1!$A$23:$A$27</c:f>
              <c:strCache>
                <c:ptCount val="4"/>
                <c:pt idx="0">
                  <c:v>East</c:v>
                </c:pt>
                <c:pt idx="1">
                  <c:v>North</c:v>
                </c:pt>
                <c:pt idx="2">
                  <c:v>South</c:v>
                </c:pt>
                <c:pt idx="3">
                  <c:v>West</c:v>
                </c:pt>
              </c:strCache>
            </c:strRef>
          </c:cat>
          <c:val>
            <c:numRef>
              <c:f>Sheet1!$B$23:$B$27</c:f>
              <c:numCache>
                <c:formatCode>General</c:formatCode>
                <c:ptCount val="4"/>
                <c:pt idx="0">
                  <c:v>1259792.93</c:v>
                </c:pt>
                <c:pt idx="1">
                  <c:v>1369612.5100000009</c:v>
                </c:pt>
                <c:pt idx="2">
                  <c:v>1154250.8600000006</c:v>
                </c:pt>
                <c:pt idx="3">
                  <c:v>1235608.9299999997</c:v>
                </c:pt>
              </c:numCache>
            </c:numRef>
          </c:val>
          <c:smooth val="0"/>
          <c:extLst>
            <c:ext xmlns:c16="http://schemas.microsoft.com/office/drawing/2014/chart" uri="{C3380CC4-5D6E-409C-BE32-E72D297353CC}">
              <c16:uniqueId val="{00000000-9EE4-466A-B92A-A8E0E1C1217F}"/>
            </c:ext>
          </c:extLst>
        </c:ser>
        <c:dLbls>
          <c:showLegendKey val="0"/>
          <c:showVal val="0"/>
          <c:showCatName val="0"/>
          <c:showSerName val="0"/>
          <c:showPercent val="0"/>
          <c:showBubbleSize val="0"/>
        </c:dLbls>
        <c:smooth val="0"/>
        <c:axId val="457721360"/>
        <c:axId val="457721840"/>
      </c:lineChart>
      <c:catAx>
        <c:axId val="45772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21840"/>
        <c:crosses val="autoZero"/>
        <c:auto val="1"/>
        <c:lblAlgn val="ctr"/>
        <c:lblOffset val="100"/>
        <c:noMultiLvlLbl val="0"/>
      </c:catAx>
      <c:valAx>
        <c:axId val="45772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21360"/>
        <c:crosses val="autoZero"/>
        <c:crossBetween val="between"/>
      </c:valAx>
      <c:spPr>
        <a:noFill/>
        <a:ln>
          <a:noFill/>
        </a:ln>
        <a:effectLst/>
      </c:spPr>
    </c:plotArea>
    <c:legend>
      <c:legendPos val="r"/>
      <c:layout>
        <c:manualLayout>
          <c:xMode val="edge"/>
          <c:yMode val="edge"/>
          <c:x val="0.82321863083916158"/>
          <c:y val="0.51711702320616604"/>
          <c:w val="0.16987654777416014"/>
          <c:h val="9.33329441663522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salu.xlsx]Sheet1!PivotTable5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and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Sheet1!$B$33</c:f>
              <c:strCache>
                <c:ptCount val="1"/>
                <c:pt idx="0">
                  <c:v>Total</c:v>
                </c:pt>
              </c:strCache>
            </c:strRef>
          </c:tx>
          <c:spPr>
            <a:solidFill>
              <a:schemeClr val="accent1"/>
            </a:solidFill>
            <a:ln>
              <a:noFill/>
            </a:ln>
            <a:effectLst/>
          </c:spPr>
          <c:invertIfNegative val="0"/>
          <c:cat>
            <c:strRef>
              <c:f>Sheet1!$A$34:$A$37</c:f>
              <c:strCache>
                <c:ptCount val="3"/>
                <c:pt idx="0">
                  <c:v>Bank Transfer</c:v>
                </c:pt>
                <c:pt idx="1">
                  <c:v>Cash</c:v>
                </c:pt>
                <c:pt idx="2">
                  <c:v>Credit Card</c:v>
                </c:pt>
              </c:strCache>
            </c:strRef>
          </c:cat>
          <c:val>
            <c:numRef>
              <c:f>Sheet1!$B$34:$B$37</c:f>
              <c:numCache>
                <c:formatCode>General</c:formatCode>
                <c:ptCount val="3"/>
                <c:pt idx="0">
                  <c:v>946760.06000000029</c:v>
                </c:pt>
                <c:pt idx="1">
                  <c:v>842257.78000000038</c:v>
                </c:pt>
                <c:pt idx="2">
                  <c:v>939422.27999999945</c:v>
                </c:pt>
              </c:numCache>
            </c:numRef>
          </c:val>
          <c:extLst>
            <c:ext xmlns:c16="http://schemas.microsoft.com/office/drawing/2014/chart" uri="{C3380CC4-5D6E-409C-BE32-E72D297353CC}">
              <c16:uniqueId val="{00000000-6E13-40FE-9150-449417C56838}"/>
            </c:ext>
          </c:extLst>
        </c:ser>
        <c:dLbls>
          <c:showLegendKey val="0"/>
          <c:showVal val="0"/>
          <c:showCatName val="0"/>
          <c:showSerName val="0"/>
          <c:showPercent val="0"/>
          <c:showBubbleSize val="0"/>
        </c:dLbls>
        <c:gapWidth val="182"/>
        <c:axId val="459979456"/>
        <c:axId val="459968416"/>
      </c:barChart>
      <c:catAx>
        <c:axId val="45997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68416"/>
        <c:crosses val="autoZero"/>
        <c:auto val="1"/>
        <c:lblAlgn val="ctr"/>
        <c:lblOffset val="100"/>
        <c:noMultiLvlLbl val="0"/>
      </c:catAx>
      <c:valAx>
        <c:axId val="45996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7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47625</xdr:colOff>
      <xdr:row>0</xdr:row>
      <xdr:rowOff>0</xdr:rowOff>
    </xdr:from>
    <xdr:to>
      <xdr:col>7</xdr:col>
      <xdr:colOff>114300</xdr:colOff>
      <xdr:row>9</xdr:row>
      <xdr:rowOff>14288</xdr:rowOff>
    </xdr:to>
    <xdr:graphicFrame macro="">
      <xdr:nvGraphicFramePr>
        <xdr:cNvPr id="2" name="Chart 1">
          <a:extLst>
            <a:ext uri="{FF2B5EF4-FFF2-40B4-BE49-F238E27FC236}">
              <a16:creationId xmlns:a16="http://schemas.microsoft.com/office/drawing/2014/main" id="{2F32CD16-553C-A5EA-1837-FBAB66DEB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161925</xdr:colOff>
      <xdr:row>0</xdr:row>
      <xdr:rowOff>38100</xdr:rowOff>
    </xdr:from>
    <xdr:to>
      <xdr:col>10</xdr:col>
      <xdr:colOff>161925</xdr:colOff>
      <xdr:row>5</xdr:row>
      <xdr:rowOff>95250</xdr:rowOff>
    </xdr:to>
    <mc:AlternateContent xmlns:mc="http://schemas.openxmlformats.org/markup-compatibility/2006" xmlns:a14="http://schemas.microsoft.com/office/drawing/2010/main">
      <mc:Choice Requires="a14">
        <xdr:graphicFrame macro="">
          <xdr:nvGraphicFramePr>
            <xdr:cNvPr id="3" name="Sales_Channel">
              <a:extLst>
                <a:ext uri="{FF2B5EF4-FFF2-40B4-BE49-F238E27FC236}">
                  <a16:creationId xmlns:a16="http://schemas.microsoft.com/office/drawing/2014/main" id="{4BB1EEB6-60F5-2836-83A6-DCAFC51E19E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981825" y="3810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9</xdr:row>
      <xdr:rowOff>185737</xdr:rowOff>
    </xdr:from>
    <xdr:to>
      <xdr:col>6</xdr:col>
      <xdr:colOff>390525</xdr:colOff>
      <xdr:row>17</xdr:row>
      <xdr:rowOff>142875</xdr:rowOff>
    </xdr:to>
    <xdr:graphicFrame macro="">
      <xdr:nvGraphicFramePr>
        <xdr:cNvPr id="4" name="Chart 3">
          <a:extLst>
            <a:ext uri="{FF2B5EF4-FFF2-40B4-BE49-F238E27FC236}">
              <a16:creationId xmlns:a16="http://schemas.microsoft.com/office/drawing/2014/main" id="{8BAC7022-8C0C-3491-AECB-F826BA5F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409575</xdr:colOff>
      <xdr:row>10</xdr:row>
      <xdr:rowOff>142874</xdr:rowOff>
    </xdr:from>
    <xdr:to>
      <xdr:col>9</xdr:col>
      <xdr:colOff>409575</xdr:colOff>
      <xdr:row>17</xdr:row>
      <xdr:rowOff>38099</xdr:rowOff>
    </xdr:to>
    <mc:AlternateContent xmlns:mc="http://schemas.openxmlformats.org/markup-compatibility/2006" xmlns:a14="http://schemas.microsoft.com/office/drawing/2010/main">
      <mc:Choice Requires="a14">
        <xdr:graphicFrame macro="">
          <xdr:nvGraphicFramePr>
            <xdr:cNvPr id="5" name="Sale_Date">
              <a:extLst>
                <a:ext uri="{FF2B5EF4-FFF2-40B4-BE49-F238E27FC236}">
                  <a16:creationId xmlns:a16="http://schemas.microsoft.com/office/drawing/2014/main" id="{63960DCF-2EC3-28F4-FEEA-CE71082DDF40}"/>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6619875" y="2047874"/>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371475</xdr:colOff>
      <xdr:row>18</xdr:row>
      <xdr:rowOff>161925</xdr:rowOff>
    </xdr:from>
    <xdr:to>
      <xdr:col>9</xdr:col>
      <xdr:colOff>371475</xdr:colOff>
      <xdr:row>28</xdr:row>
      <xdr:rowOff>66675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A2D9EFB-F2EB-1F05-C2D6-3E7CE9315D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81775" y="3590925"/>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18</xdr:row>
      <xdr:rowOff>52387</xdr:rowOff>
    </xdr:from>
    <xdr:to>
      <xdr:col>6</xdr:col>
      <xdr:colOff>371475</xdr:colOff>
      <xdr:row>29</xdr:row>
      <xdr:rowOff>38100</xdr:rowOff>
    </xdr:to>
    <xdr:graphicFrame macro="">
      <xdr:nvGraphicFramePr>
        <xdr:cNvPr id="7" name="Chart 6">
          <a:extLst>
            <a:ext uri="{FF2B5EF4-FFF2-40B4-BE49-F238E27FC236}">
              <a16:creationId xmlns:a16="http://schemas.microsoft.com/office/drawing/2014/main" id="{2CEEA577-AA91-6FBB-46D1-4F90F62CE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xdr:colOff>
      <xdr:row>29</xdr:row>
      <xdr:rowOff>147637</xdr:rowOff>
    </xdr:from>
    <xdr:to>
      <xdr:col>7</xdr:col>
      <xdr:colOff>447675</xdr:colOff>
      <xdr:row>39</xdr:row>
      <xdr:rowOff>142875</xdr:rowOff>
    </xdr:to>
    <xdr:graphicFrame macro="">
      <xdr:nvGraphicFramePr>
        <xdr:cNvPr id="8" name="Chart 7">
          <a:extLst>
            <a:ext uri="{FF2B5EF4-FFF2-40B4-BE49-F238E27FC236}">
              <a16:creationId xmlns:a16="http://schemas.microsoft.com/office/drawing/2014/main" id="{3BA7CA18-4037-1A1B-D918-2FDF71888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476250</xdr:colOff>
      <xdr:row>30</xdr:row>
      <xdr:rowOff>123825</xdr:rowOff>
    </xdr:from>
    <xdr:to>
      <xdr:col>10</xdr:col>
      <xdr:colOff>476250</xdr:colOff>
      <xdr:row>38</xdr:row>
      <xdr:rowOff>95250</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3DDA2703-09DB-CAB2-49FF-135CECFAC3F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296150" y="583882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394938</xdr:colOff>
      <xdr:row>6</xdr:row>
      <xdr:rowOff>0</xdr:rowOff>
    </xdr:from>
    <xdr:to>
      <xdr:col>24</xdr:col>
      <xdr:colOff>136072</xdr:colOff>
      <xdr:row>36</xdr:row>
      <xdr:rowOff>92926</xdr:rowOff>
    </xdr:to>
    <xdr:sp macro="" textlink="">
      <xdr:nvSpPr>
        <xdr:cNvPr id="2" name="Rectangle 1">
          <a:extLst>
            <a:ext uri="{FF2B5EF4-FFF2-40B4-BE49-F238E27FC236}">
              <a16:creationId xmlns:a16="http://schemas.microsoft.com/office/drawing/2014/main" id="{9C0E6C90-37A0-01C9-7ADD-553CBC23B21F}"/>
            </a:ext>
          </a:extLst>
        </xdr:cNvPr>
        <xdr:cNvSpPr/>
      </xdr:nvSpPr>
      <xdr:spPr>
        <a:xfrm>
          <a:off x="1007259" y="1224643"/>
          <a:ext cx="13824527" cy="62161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547181</xdr:colOff>
      <xdr:row>9</xdr:row>
      <xdr:rowOff>4530</xdr:rowOff>
    </xdr:from>
    <xdr:to>
      <xdr:col>8</xdr:col>
      <xdr:colOff>150921</xdr:colOff>
      <xdr:row>22</xdr:row>
      <xdr:rowOff>101329</xdr:rowOff>
    </xdr:to>
    <xdr:graphicFrame macro="">
      <xdr:nvGraphicFramePr>
        <xdr:cNvPr id="3" name="Chart 2">
          <a:extLst>
            <a:ext uri="{FF2B5EF4-FFF2-40B4-BE49-F238E27FC236}">
              <a16:creationId xmlns:a16="http://schemas.microsoft.com/office/drawing/2014/main" id="{655277EB-E2F9-4FFC-B7CA-E5AB878F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189765</xdr:colOff>
      <xdr:row>9</xdr:row>
      <xdr:rowOff>51754</xdr:rowOff>
    </xdr:from>
    <xdr:to>
      <xdr:col>11</xdr:col>
      <xdr:colOff>189765</xdr:colOff>
      <xdr:row>22</xdr:row>
      <xdr:rowOff>60797</xdr:rowOff>
    </xdr:to>
    <mc:AlternateContent xmlns:mc="http://schemas.openxmlformats.org/markup-compatibility/2006">
      <mc:Choice xmlns:a14="http://schemas.microsoft.com/office/drawing/2010/main" Requires="a14">
        <xdr:graphicFrame macro="">
          <xdr:nvGraphicFramePr>
            <xdr:cNvPr id="4" name="Sales_Channel 1">
              <a:extLst>
                <a:ext uri="{FF2B5EF4-FFF2-40B4-BE49-F238E27FC236}">
                  <a16:creationId xmlns:a16="http://schemas.microsoft.com/office/drawing/2014/main" id="{8D352A05-FDBB-4736-987D-239BD3C61164}"/>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5088336" y="1888718"/>
              <a:ext cx="1836965" cy="2662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571139</xdr:colOff>
      <xdr:row>22</xdr:row>
      <xdr:rowOff>148724</xdr:rowOff>
    </xdr:from>
    <xdr:to>
      <xdr:col>8</xdr:col>
      <xdr:colOff>162127</xdr:colOff>
      <xdr:row>36</xdr:row>
      <xdr:rowOff>20265</xdr:rowOff>
    </xdr:to>
    <xdr:graphicFrame macro="">
      <xdr:nvGraphicFramePr>
        <xdr:cNvPr id="5" name="Chart 4">
          <a:extLst>
            <a:ext uri="{FF2B5EF4-FFF2-40B4-BE49-F238E27FC236}">
              <a16:creationId xmlns:a16="http://schemas.microsoft.com/office/drawing/2014/main" id="{74CF1B5E-308B-41F9-B313-55259D808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215338</xdr:colOff>
      <xdr:row>22</xdr:row>
      <xdr:rowOff>104816</xdr:rowOff>
    </xdr:from>
    <xdr:to>
      <xdr:col>11</xdr:col>
      <xdr:colOff>215338</xdr:colOff>
      <xdr:row>35</xdr:row>
      <xdr:rowOff>182392</xdr:rowOff>
    </xdr:to>
    <mc:AlternateContent xmlns:mc="http://schemas.openxmlformats.org/markup-compatibility/2006">
      <mc:Choice xmlns:a14="http://schemas.microsoft.com/office/drawing/2010/main" Requires="a14">
        <xdr:graphicFrame macro="">
          <xdr:nvGraphicFramePr>
            <xdr:cNvPr id="6" name="Sale_Date 1">
              <a:extLst>
                <a:ext uri="{FF2B5EF4-FFF2-40B4-BE49-F238E27FC236}">
                  <a16:creationId xmlns:a16="http://schemas.microsoft.com/office/drawing/2014/main" id="{5AFE8508-753F-4F0B-9B41-B2A71B709ECB}"/>
                </a:ext>
              </a:extLst>
            </xdr:cNvPr>
            <xdr:cNvGraphicFramePr/>
          </xdr:nvGraphicFramePr>
          <xdr:xfrm>
            <a:off x="0" y="0"/>
            <a:ext cx="0" cy="0"/>
          </xdr:xfrm>
          <a:graphic>
            <a:graphicData uri="http://schemas.microsoft.com/office/drawing/2010/slicer">
              <sle:slicer xmlns:sle="http://schemas.microsoft.com/office/drawing/2010/slicer" name="Sale_Date 1"/>
            </a:graphicData>
          </a:graphic>
        </xdr:graphicFrame>
      </mc:Choice>
      <mc:Fallback>
        <xdr:sp macro="" textlink="">
          <xdr:nvSpPr>
            <xdr:cNvPr id="0" name=""/>
            <xdr:cNvSpPr>
              <a:spLocks noTextEdit="1"/>
            </xdr:cNvSpPr>
          </xdr:nvSpPr>
          <xdr:spPr>
            <a:xfrm>
              <a:off x="5113909" y="4595173"/>
              <a:ext cx="1836965" cy="2730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542089</xdr:colOff>
      <xdr:row>8</xdr:row>
      <xdr:rowOff>175491</xdr:rowOff>
    </xdr:from>
    <xdr:to>
      <xdr:col>20</xdr:col>
      <xdr:colOff>572806</xdr:colOff>
      <xdr:row>22</xdr:row>
      <xdr:rowOff>20265</xdr:rowOff>
    </xdr:to>
    <xdr:graphicFrame macro="">
      <xdr:nvGraphicFramePr>
        <xdr:cNvPr id="7" name="Chart 6">
          <a:extLst>
            <a:ext uri="{FF2B5EF4-FFF2-40B4-BE49-F238E27FC236}">
              <a16:creationId xmlns:a16="http://schemas.microsoft.com/office/drawing/2014/main" id="{ABAD3198-776B-4FD3-A674-E28F3C3C4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6854</xdr:colOff>
      <xdr:row>9</xdr:row>
      <xdr:rowOff>20267</xdr:rowOff>
    </xdr:from>
    <xdr:to>
      <xdr:col>24</xdr:col>
      <xdr:colOff>6854</xdr:colOff>
      <xdr:row>22</xdr:row>
      <xdr:rowOff>20266</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480476D-912E-4462-A79F-4D50E8969F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865604" y="1857231"/>
              <a:ext cx="1836964" cy="2653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522025</xdr:colOff>
      <xdr:row>22</xdr:row>
      <xdr:rowOff>42696</xdr:rowOff>
    </xdr:from>
    <xdr:to>
      <xdr:col>20</xdr:col>
      <xdr:colOff>580678</xdr:colOff>
      <xdr:row>36</xdr:row>
      <xdr:rowOff>-1</xdr:rowOff>
    </xdr:to>
    <xdr:graphicFrame macro="">
      <xdr:nvGraphicFramePr>
        <xdr:cNvPr id="9" name="Chart 8">
          <a:extLst>
            <a:ext uri="{FF2B5EF4-FFF2-40B4-BE49-F238E27FC236}">
              <a16:creationId xmlns:a16="http://schemas.microsoft.com/office/drawing/2014/main" id="{B9338FC2-4158-49A7-A60D-6F8F94A36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1289</xdr:colOff>
      <xdr:row>22</xdr:row>
      <xdr:rowOff>79530</xdr:rowOff>
    </xdr:from>
    <xdr:to>
      <xdr:col>24</xdr:col>
      <xdr:colOff>1289</xdr:colOff>
      <xdr:row>35</xdr:row>
      <xdr:rowOff>162622</xdr:rowOff>
    </xdr:to>
    <mc:AlternateContent xmlns:mc="http://schemas.openxmlformats.org/markup-compatibility/2006">
      <mc:Choice xmlns:a14="http://schemas.microsoft.com/office/drawing/2010/main" Requires="a14">
        <xdr:graphicFrame macro="">
          <xdr:nvGraphicFramePr>
            <xdr:cNvPr id="10" name="Payment_Method 1">
              <a:extLst>
                <a:ext uri="{FF2B5EF4-FFF2-40B4-BE49-F238E27FC236}">
                  <a16:creationId xmlns:a16="http://schemas.microsoft.com/office/drawing/2014/main" id="{11DF99F4-17F0-4222-B399-D7E1256D891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2860039" y="4569887"/>
              <a:ext cx="1836964" cy="2736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513160</xdr:colOff>
      <xdr:row>6</xdr:row>
      <xdr:rowOff>46644</xdr:rowOff>
    </xdr:from>
    <xdr:to>
      <xdr:col>15</xdr:col>
      <xdr:colOff>132891</xdr:colOff>
      <xdr:row>8</xdr:row>
      <xdr:rowOff>70612</xdr:rowOff>
    </xdr:to>
    <xdr:sp macro="" textlink="">
      <xdr:nvSpPr>
        <xdr:cNvPr id="11" name="TextBox 10">
          <a:extLst>
            <a:ext uri="{FF2B5EF4-FFF2-40B4-BE49-F238E27FC236}">
              <a16:creationId xmlns:a16="http://schemas.microsoft.com/office/drawing/2014/main" id="{6210CF27-D870-0D76-D094-F9B2A0C46C9D}"/>
            </a:ext>
          </a:extLst>
        </xdr:cNvPr>
        <xdr:cNvSpPr txBox="1"/>
      </xdr:nvSpPr>
      <xdr:spPr>
        <a:xfrm>
          <a:off x="6596353" y="1199249"/>
          <a:ext cx="2661328" cy="408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kern="1200"/>
            <a:t>  </a:t>
          </a:r>
          <a:r>
            <a:rPr lang="en-IN" sz="1100" kern="1200" baseline="0"/>
            <a:t>  </a:t>
          </a:r>
          <a:r>
            <a:rPr lang="en-IN" sz="2400" b="1" u="sng" kern="1200" baseline="0">
              <a:solidFill>
                <a:schemeClr val="tx1"/>
              </a:solidFill>
            </a:rPr>
            <a:t>DASHBOARD</a:t>
          </a:r>
          <a:endParaRPr lang="en-IN" sz="2400" b="1" u="sng" kern="1200">
            <a:solidFill>
              <a:schemeClr val="tx1"/>
            </a:solidFill>
          </a:endParaRPr>
        </a:p>
      </xdr:txBody>
    </xdr:sp>
    <xdr:clientData/>
  </xdr:twoCellAnchor>
  <xdr:twoCellAnchor>
    <xdr:from>
      <xdr:col>11</xdr:col>
      <xdr:colOff>263457</xdr:colOff>
      <xdr:row>15</xdr:row>
      <xdr:rowOff>38864</xdr:rowOff>
    </xdr:from>
    <xdr:to>
      <xdr:col>14</xdr:col>
      <xdr:colOff>425584</xdr:colOff>
      <xdr:row>21</xdr:row>
      <xdr:rowOff>172978</xdr:rowOff>
    </xdr:to>
    <xdr:sp macro="" textlink="Sheet1!C46">
      <xdr:nvSpPr>
        <xdr:cNvPr id="12" name="Rectangle: Rounded Corners 11">
          <a:extLst>
            <a:ext uri="{FF2B5EF4-FFF2-40B4-BE49-F238E27FC236}">
              <a16:creationId xmlns:a16="http://schemas.microsoft.com/office/drawing/2014/main" id="{C8C0836B-D376-BB97-8114-77F534C590F0}"/>
            </a:ext>
          </a:extLst>
        </xdr:cNvPr>
        <xdr:cNvSpPr/>
      </xdr:nvSpPr>
      <xdr:spPr>
        <a:xfrm>
          <a:off x="6919751" y="2896364"/>
          <a:ext cx="1977480" cy="12771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2F6032-2BD2-483B-8298-246C5CA517FD}" type="TxLink">
            <a:rPr lang="en-US" sz="1100" b="0" i="0" u="none" strike="noStrike" kern="1200">
              <a:solidFill>
                <a:srgbClr val="000000"/>
              </a:solidFill>
              <a:latin typeface="Aptos Narrow"/>
            </a:rPr>
            <a:pPr algn="l"/>
            <a:t>25355</a:t>
          </a:fld>
          <a:endParaRPr lang="en-IN" sz="1100" kern="1200"/>
        </a:p>
      </xdr:txBody>
    </xdr:sp>
    <xdr:clientData/>
  </xdr:twoCellAnchor>
  <xdr:twoCellAnchor>
    <xdr:from>
      <xdr:col>11</xdr:col>
      <xdr:colOff>291788</xdr:colOff>
      <xdr:row>18</xdr:row>
      <xdr:rowOff>71213</xdr:rowOff>
    </xdr:from>
    <xdr:to>
      <xdr:col>14</xdr:col>
      <xdr:colOff>424694</xdr:colOff>
      <xdr:row>19</xdr:row>
      <xdr:rowOff>96770</xdr:rowOff>
    </xdr:to>
    <xdr:sp macro="" textlink="">
      <xdr:nvSpPr>
        <xdr:cNvPr id="13" name="TextBox 12">
          <a:extLst>
            <a:ext uri="{FF2B5EF4-FFF2-40B4-BE49-F238E27FC236}">
              <a16:creationId xmlns:a16="http://schemas.microsoft.com/office/drawing/2014/main" id="{9008C4A9-F924-50FF-AC28-43B5E8A0932C}"/>
            </a:ext>
          </a:extLst>
        </xdr:cNvPr>
        <xdr:cNvSpPr txBox="1"/>
      </xdr:nvSpPr>
      <xdr:spPr>
        <a:xfrm>
          <a:off x="6948082" y="3500213"/>
          <a:ext cx="1948259" cy="216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kern="1200"/>
            <a:t>                     </a:t>
          </a:r>
          <a:r>
            <a:rPr lang="en-IN" sz="1200" b="1" kern="1200">
              <a:solidFill>
                <a:srgbClr val="C00000"/>
              </a:solidFill>
            </a:rPr>
            <a:t>Quantity</a:t>
          </a:r>
        </a:p>
      </xdr:txBody>
    </xdr:sp>
    <xdr:clientData/>
  </xdr:twoCellAnchor>
  <xdr:twoCellAnchor>
    <xdr:from>
      <xdr:col>11</xdr:col>
      <xdr:colOff>254575</xdr:colOff>
      <xdr:row>22</xdr:row>
      <xdr:rowOff>70184</xdr:rowOff>
    </xdr:from>
    <xdr:to>
      <xdr:col>14</xdr:col>
      <xdr:colOff>437619</xdr:colOff>
      <xdr:row>29</xdr:row>
      <xdr:rowOff>60797</xdr:rowOff>
    </xdr:to>
    <xdr:sp macro="" textlink="Sheet1!F48">
      <xdr:nvSpPr>
        <xdr:cNvPr id="14" name="Rectangle: Rounded Corners 13">
          <a:extLst>
            <a:ext uri="{FF2B5EF4-FFF2-40B4-BE49-F238E27FC236}">
              <a16:creationId xmlns:a16="http://schemas.microsoft.com/office/drawing/2014/main" id="{712B1045-67AD-FD51-6107-2546CC7CFA46}"/>
            </a:ext>
          </a:extLst>
        </xdr:cNvPr>
        <xdr:cNvSpPr/>
      </xdr:nvSpPr>
      <xdr:spPr>
        <a:xfrm flipH="1">
          <a:off x="6910869" y="4261184"/>
          <a:ext cx="1998397" cy="13241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D92ADF-F148-4683-82E4-92C26D41DD07}" type="TxLink">
            <a:rPr lang="en-US" sz="1100" b="0" i="0" u="none" strike="noStrike" kern="1200">
              <a:solidFill>
                <a:srgbClr val="000000"/>
              </a:solidFill>
              <a:latin typeface="Aptos Narrow"/>
            </a:rPr>
            <a:pPr algn="l"/>
            <a:t>1000</a:t>
          </a:fld>
          <a:endParaRPr lang="en-IN" sz="1100" kern="1200"/>
        </a:p>
      </xdr:txBody>
    </xdr:sp>
    <xdr:clientData/>
  </xdr:twoCellAnchor>
  <xdr:twoCellAnchor>
    <xdr:from>
      <xdr:col>11</xdr:col>
      <xdr:colOff>286867</xdr:colOff>
      <xdr:row>25</xdr:row>
      <xdr:rowOff>138953</xdr:rowOff>
    </xdr:from>
    <xdr:to>
      <xdr:col>14</xdr:col>
      <xdr:colOff>418747</xdr:colOff>
      <xdr:row>27</xdr:row>
      <xdr:rowOff>2359</xdr:rowOff>
    </xdr:to>
    <xdr:sp macro="" textlink="">
      <xdr:nvSpPr>
        <xdr:cNvPr id="15" name="TextBox 14">
          <a:extLst>
            <a:ext uri="{FF2B5EF4-FFF2-40B4-BE49-F238E27FC236}">
              <a16:creationId xmlns:a16="http://schemas.microsoft.com/office/drawing/2014/main" id="{8FFB0EB7-57CA-8019-2480-142FDBA8A9DE}"/>
            </a:ext>
          </a:extLst>
        </xdr:cNvPr>
        <xdr:cNvSpPr txBox="1"/>
      </xdr:nvSpPr>
      <xdr:spPr>
        <a:xfrm>
          <a:off x="6943161" y="4901453"/>
          <a:ext cx="1947233" cy="244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rgbClr val="C00000"/>
              </a:solidFill>
            </a:rPr>
            <a:t>             </a:t>
          </a:r>
          <a:r>
            <a:rPr lang="en-IN" sz="1200" b="1" kern="1200">
              <a:solidFill>
                <a:srgbClr val="C00000"/>
              </a:solidFill>
            </a:rPr>
            <a:t>customer</a:t>
          </a:r>
          <a:r>
            <a:rPr lang="en-IN" sz="1200" b="1" kern="1200" baseline="0">
              <a:solidFill>
                <a:srgbClr val="C00000"/>
              </a:solidFill>
            </a:rPr>
            <a:t> type</a:t>
          </a:r>
          <a:endParaRPr lang="en-IN" sz="1200" b="1" kern="1200">
            <a:solidFill>
              <a:srgbClr val="C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com" refreshedDate="46021.487017824074" createdVersion="8" refreshedVersion="8" minRefreshableVersion="3" recordCount="1000" xr:uid="{E5296442-6B88-4258-B01D-A95BBEE8767E}">
  <cacheSource type="worksheet">
    <worksheetSource ref="A1:N1001" sheet="sales_data"/>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7128789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com" refreshedDate="46021.488304282408" createdVersion="8" refreshedVersion="8" minRefreshableVersion="3" recordCount="1000" xr:uid="{26446A2A-E485-4F5E-BF82-4C02F98965FF}">
  <cacheSource type="worksheet">
    <worksheetSource name="sales_data!$A$1:$N$1001"/>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acheField>
    <cacheField name="Region" numFmtId="0">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21635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s v="Bob"/>
    <x v="0"/>
    <n v="5053.97"/>
    <x v="0"/>
    <s v="Furniture"/>
    <n v="152.75"/>
    <n v="267.22000000000003"/>
    <s v="Returning"/>
    <n v="0.09"/>
    <x v="0"/>
    <x v="0"/>
    <s v="North-Bob"/>
  </r>
  <r>
    <n v="1093"/>
    <d v="2023-04-21T00:00:00"/>
    <s v="Bob"/>
    <x v="1"/>
    <n v="4384.0200000000004"/>
    <x v="1"/>
    <s v="Furniture"/>
    <n v="3816.39"/>
    <n v="4209.4399999999996"/>
    <s v="Returning"/>
    <n v="0.11"/>
    <x v="0"/>
    <x v="1"/>
    <s v="West-Bob"/>
  </r>
  <r>
    <n v="1015"/>
    <d v="2023-09-21T00:00:00"/>
    <s v="David"/>
    <x v="2"/>
    <n v="4631.2299999999996"/>
    <x v="2"/>
    <s v="Food"/>
    <n v="261.56"/>
    <n v="371.4"/>
    <s v="Returning"/>
    <n v="0.2"/>
    <x v="1"/>
    <x v="1"/>
    <s v="South-David"/>
  </r>
  <r>
    <n v="1072"/>
    <d v="2023-08-24T00:00:00"/>
    <s v="Bob"/>
    <x v="2"/>
    <n v="2167.94"/>
    <x v="3"/>
    <s v="Clothing"/>
    <n v="4330.03"/>
    <n v="4467.75"/>
    <s v="New"/>
    <n v="0.02"/>
    <x v="2"/>
    <x v="1"/>
    <s v="South-Bob"/>
  </r>
  <r>
    <n v="1061"/>
    <d v="2023-03-24T00:00:00"/>
    <s v="Charlie"/>
    <x v="3"/>
    <n v="3750.2"/>
    <x v="4"/>
    <s v="Electronics"/>
    <n v="637.37"/>
    <n v="692.71"/>
    <s v="New"/>
    <n v="0.08"/>
    <x v="2"/>
    <x v="0"/>
    <s v="East-Charlie"/>
  </r>
  <r>
    <n v="1021"/>
    <d v="2023-02-11T00:00:00"/>
    <s v="Charlie"/>
    <x v="1"/>
    <n v="3761.15"/>
    <x v="5"/>
    <s v="Food"/>
    <n v="900.79"/>
    <n v="1106.51"/>
    <s v="New"/>
    <n v="0.21"/>
    <x v="0"/>
    <x v="0"/>
    <s v="West-Charlie"/>
  </r>
  <r>
    <n v="1083"/>
    <d v="2023-04-11T00:00:00"/>
    <s v="Bob"/>
    <x v="1"/>
    <n v="618.30999999999995"/>
    <x v="6"/>
    <s v="Furniture"/>
    <n v="2408.81"/>
    <n v="2624.09"/>
    <s v="Returning"/>
    <n v="0.14000000000000001"/>
    <x v="0"/>
    <x v="0"/>
    <s v="West-Bob"/>
  </r>
  <r>
    <n v="1087"/>
    <d v="2023-01-06T00:00:00"/>
    <s v="Eve"/>
    <x v="2"/>
    <n v="7698.92"/>
    <x v="7"/>
    <s v="Furniture"/>
    <n v="3702.51"/>
    <n v="3964.65"/>
    <s v="New"/>
    <n v="0.12"/>
    <x v="1"/>
    <x v="0"/>
    <s v="South-Eve"/>
  </r>
  <r>
    <n v="1075"/>
    <d v="2023-06-29T00:00:00"/>
    <s v="David"/>
    <x v="2"/>
    <n v="4223.3900000000003"/>
    <x v="2"/>
    <s v="Furniture"/>
    <n v="738.06"/>
    <n v="1095.44999999999"/>
    <s v="New"/>
    <n v="0.05"/>
    <x v="1"/>
    <x v="0"/>
    <s v="South-David"/>
  </r>
  <r>
    <n v="1075"/>
    <d v="2023-10-09T00:00:00"/>
    <s v="Charlie"/>
    <x v="1"/>
    <n v="8239.58"/>
    <x v="0"/>
    <s v="Clothing"/>
    <n v="2228.35"/>
    <n v="2682.34"/>
    <s v="New"/>
    <n v="0.13"/>
    <x v="1"/>
    <x v="0"/>
    <s v="West-Charlie"/>
  </r>
  <r>
    <n v="1088"/>
    <d v="2023-11-16T00:00:00"/>
    <s v="Eve"/>
    <x v="0"/>
    <n v="8518.4500000000007"/>
    <x v="4"/>
    <s v="Furniture"/>
    <n v="2440.11"/>
    <n v="2517.6"/>
    <s v="New"/>
    <n v="0.23"/>
    <x v="1"/>
    <x v="1"/>
    <s v="North-Eve"/>
  </r>
  <r>
    <n v="1100"/>
    <d v="2023-08-14T00:00:00"/>
    <s v="Bob"/>
    <x v="1"/>
    <n v="2198.7399999999998"/>
    <x v="8"/>
    <s v="Food"/>
    <n v="1100.81"/>
    <n v="1137.44"/>
    <s v="Returning"/>
    <n v="0.08"/>
    <x v="1"/>
    <x v="0"/>
    <s v="West-Bob"/>
  </r>
  <r>
    <n v="1024"/>
    <d v="2023-11-11T00:00:00"/>
    <s v="Eve"/>
    <x v="1"/>
    <n v="6607.8"/>
    <x v="9"/>
    <s v="Food"/>
    <n v="622.01"/>
    <n v="641.09"/>
    <s v="Returning"/>
    <n v="0"/>
    <x v="1"/>
    <x v="1"/>
    <s v="West-Eve"/>
  </r>
  <r>
    <n v="1003"/>
    <d v="2023-12-31T00:00:00"/>
    <s v="Alice"/>
    <x v="2"/>
    <n v="4775.59"/>
    <x v="2"/>
    <s v="Furniture"/>
    <n v="4190.28"/>
    <n v="4270.6499999999996"/>
    <s v="New"/>
    <n v="0.2"/>
    <x v="0"/>
    <x v="0"/>
    <s v="South-Alice"/>
  </r>
  <r>
    <n v="1022"/>
    <d v="2023-08-17T00:00:00"/>
    <s v="Charlie"/>
    <x v="2"/>
    <n v="8813.5499999999993"/>
    <x v="9"/>
    <s v="Food"/>
    <n v="2537.1999999999998"/>
    <n v="2869.6"/>
    <s v="New"/>
    <n v="0.28999999999999998"/>
    <x v="1"/>
    <x v="1"/>
    <s v="South-Charlie"/>
  </r>
  <r>
    <n v="1053"/>
    <d v="2023-10-16T00:00:00"/>
    <s v="Bob"/>
    <x v="0"/>
    <n v="2235.83"/>
    <x v="10"/>
    <s v="Furniture"/>
    <n v="121.19"/>
    <n v="487.65"/>
    <s v="New"/>
    <n v="0.18"/>
    <x v="0"/>
    <x v="1"/>
    <s v="North-Bob"/>
  </r>
  <r>
    <n v="1002"/>
    <d v="2023-05-30T00:00:00"/>
    <s v="David"/>
    <x v="0"/>
    <n v="6810.35"/>
    <x v="1"/>
    <s v="Furniture"/>
    <n v="4024.76"/>
    <n v="4420.1499999999996"/>
    <s v="Returning"/>
    <n v="0.04"/>
    <x v="0"/>
    <x v="0"/>
    <s v="North-David"/>
  </r>
  <r>
    <n v="1088"/>
    <d v="2023-10-04T00:00:00"/>
    <s v="Bob"/>
    <x v="3"/>
    <n v="6116.75"/>
    <x v="11"/>
    <s v="Electronics"/>
    <n v="4904.93"/>
    <n v="5034.3500000000004"/>
    <s v="New"/>
    <n v="0.1"/>
    <x v="2"/>
    <x v="1"/>
    <s v="East-Bob"/>
  </r>
  <r>
    <n v="1030"/>
    <d v="2023-07-17T00:00:00"/>
    <s v="David"/>
    <x v="1"/>
    <n v="3023.48"/>
    <x v="12"/>
    <s v="Clothing"/>
    <n v="3049.33"/>
    <n v="3209.22"/>
    <s v="Returning"/>
    <n v="0.26"/>
    <x v="0"/>
    <x v="0"/>
    <s v="West-David"/>
  </r>
  <r>
    <n v="1038"/>
    <d v="2023-03-11T00:00:00"/>
    <s v="Bob"/>
    <x v="2"/>
    <n v="1452.35"/>
    <x v="13"/>
    <s v="Clothing"/>
    <n v="2543.36"/>
    <n v="2790.1"/>
    <s v="Returning"/>
    <n v="7.0000000000000007E-2"/>
    <x v="0"/>
    <x v="0"/>
    <s v="South-Bob"/>
  </r>
  <r>
    <n v="1002"/>
    <d v="2023-04-22T00:00:00"/>
    <s v="Eve"/>
    <x v="0"/>
    <n v="6551.23"/>
    <x v="14"/>
    <s v="Electronics"/>
    <n v="4398.16"/>
    <n v="4439.12"/>
    <s v="New"/>
    <n v="0.18"/>
    <x v="1"/>
    <x v="0"/>
    <s v="North-Eve"/>
  </r>
  <r>
    <n v="1064"/>
    <d v="2023-01-04T00:00:00"/>
    <s v="Eve"/>
    <x v="3"/>
    <n v="7412.11"/>
    <x v="15"/>
    <s v="Electronics"/>
    <n v="4764.96"/>
    <n v="5074.42"/>
    <s v="New"/>
    <n v="0.12"/>
    <x v="0"/>
    <x v="0"/>
    <s v="East-Eve"/>
  </r>
  <r>
    <n v="1060"/>
    <d v="2023-12-16T00:00:00"/>
    <s v="Eve"/>
    <x v="3"/>
    <n v="3224.71"/>
    <x v="16"/>
    <s v="Clothing"/>
    <n v="3784.96"/>
    <n v="4276.99"/>
    <s v="New"/>
    <n v="0.06"/>
    <x v="1"/>
    <x v="1"/>
    <s v="East-Eve"/>
  </r>
  <r>
    <n v="1021"/>
    <d v="2023-11-27T00:00:00"/>
    <s v="Alice"/>
    <x v="2"/>
    <n v="6483.84"/>
    <x v="17"/>
    <s v="Furniture"/>
    <n v="2254.9899999999998"/>
    <n v="2441.79"/>
    <s v="Returning"/>
    <n v="0.24"/>
    <x v="1"/>
    <x v="0"/>
    <s v="South-Alice"/>
  </r>
  <r>
    <n v="1033"/>
    <d v="2023-11-14T00:00:00"/>
    <s v="David"/>
    <x v="2"/>
    <n v="4011.8"/>
    <x v="18"/>
    <s v="Furniture"/>
    <n v="2981.5"/>
    <n v="3360.4"/>
    <s v="Returning"/>
    <n v="0.22"/>
    <x v="1"/>
    <x v="1"/>
    <s v="South-David"/>
  </r>
  <r>
    <n v="1076"/>
    <d v="2023-12-16T00:00:00"/>
    <s v="Eve"/>
    <x v="3"/>
    <n v="7160.75"/>
    <x v="2"/>
    <s v="Clothing"/>
    <n v="3519.63"/>
    <n v="3774.65"/>
    <s v="New"/>
    <n v="0.2"/>
    <x v="2"/>
    <x v="1"/>
    <s v="East-Eve"/>
  </r>
  <r>
    <n v="1058"/>
    <d v="2023-04-05T00:00:00"/>
    <s v="Alice"/>
    <x v="0"/>
    <n v="2072.23"/>
    <x v="19"/>
    <s v="Furniture"/>
    <n v="1011.65"/>
    <n v="1084.28"/>
    <s v="Returning"/>
    <n v="7.0000000000000007E-2"/>
    <x v="1"/>
    <x v="1"/>
    <s v="North-Alice"/>
  </r>
  <r>
    <n v="1022"/>
    <d v="2023-06-01T00:00:00"/>
    <s v="David"/>
    <x v="3"/>
    <n v="8913.1299999999992"/>
    <x v="14"/>
    <s v="Electronics"/>
    <n v="2263.65"/>
    <n v="2558.9499999999998"/>
    <s v="New"/>
    <n v="0.03"/>
    <x v="0"/>
    <x v="0"/>
    <s v="East-David"/>
  </r>
  <r>
    <n v="1089"/>
    <d v="2023-11-07T00:00:00"/>
    <s v="Bob"/>
    <x v="1"/>
    <n v="2945.36"/>
    <x v="20"/>
    <s v="Furniture"/>
    <n v="4157.62"/>
    <n v="4314.5599999999904"/>
    <s v="New"/>
    <n v="0.17"/>
    <x v="1"/>
    <x v="1"/>
    <s v="West-Bob"/>
  </r>
  <r>
    <n v="1049"/>
    <d v="2023-05-17T00:00:00"/>
    <s v="Alice"/>
    <x v="1"/>
    <n v="3741.08"/>
    <x v="21"/>
    <s v="Furniture"/>
    <n v="3290.89"/>
    <n v="3317.75"/>
    <s v="Returning"/>
    <n v="0.17"/>
    <x v="1"/>
    <x v="0"/>
    <s v="West-Alice"/>
  </r>
  <r>
    <n v="1091"/>
    <d v="2023-09-04T00:00:00"/>
    <s v="Charlie"/>
    <x v="2"/>
    <n v="675.11"/>
    <x v="16"/>
    <s v="Food"/>
    <n v="2085.46"/>
    <n v="2406.58"/>
    <s v="Returning"/>
    <n v="0.06"/>
    <x v="1"/>
    <x v="1"/>
    <s v="South-Charlie"/>
  </r>
  <r>
    <n v="1059"/>
    <d v="2023-08-31T00:00:00"/>
    <s v="Alice"/>
    <x v="0"/>
    <n v="1203.97"/>
    <x v="22"/>
    <s v="Food"/>
    <n v="3333.64"/>
    <n v="3764.52"/>
    <s v="Returning"/>
    <n v="0.02"/>
    <x v="2"/>
    <x v="0"/>
    <s v="North-Alice"/>
  </r>
  <r>
    <n v="1042"/>
    <d v="2023-01-31T00:00:00"/>
    <s v="Alice"/>
    <x v="0"/>
    <n v="5207.03"/>
    <x v="23"/>
    <s v="Food"/>
    <n v="635.20000000000005"/>
    <n v="814.14"/>
    <s v="Returning"/>
    <n v="0.02"/>
    <x v="0"/>
    <x v="0"/>
    <s v="North-Alice"/>
  </r>
  <r>
    <n v="1092"/>
    <d v="2023-02-09T00:00:00"/>
    <s v="David"/>
    <x v="1"/>
    <n v="2749.17"/>
    <x v="24"/>
    <s v="Furniture"/>
    <n v="2037.41"/>
    <n v="2238.65"/>
    <s v="New"/>
    <n v="0.3"/>
    <x v="2"/>
    <x v="0"/>
    <s v="West-David"/>
  </r>
  <r>
    <n v="1060"/>
    <d v="2023-08-17T00:00:00"/>
    <s v="Bob"/>
    <x v="3"/>
    <n v="8371.25"/>
    <x v="25"/>
    <s v="Clothing"/>
    <n v="3975.99"/>
    <n v="4422.59"/>
    <s v="New"/>
    <n v="0.24"/>
    <x v="0"/>
    <x v="0"/>
    <s v="East-Bob"/>
  </r>
  <r>
    <n v="1080"/>
    <d v="2023-02-05T00:00:00"/>
    <s v="Charlie"/>
    <x v="2"/>
    <n v="245.46"/>
    <x v="14"/>
    <s v="Electronics"/>
    <n v="1141.52"/>
    <n v="1550.19"/>
    <s v="New"/>
    <n v="0.28000000000000003"/>
    <x v="2"/>
    <x v="1"/>
    <s v="South-Charlie"/>
  </r>
  <r>
    <n v="1015"/>
    <d v="2023-08-11T00:00:00"/>
    <s v="Eve"/>
    <x v="3"/>
    <n v="3853.03"/>
    <x v="5"/>
    <s v="Furniture"/>
    <n v="970.51"/>
    <n v="1330.84"/>
    <s v="Returning"/>
    <n v="0.06"/>
    <x v="0"/>
    <x v="1"/>
    <s v="East-Eve"/>
  </r>
  <r>
    <n v="1062"/>
    <d v="2023-01-06T00:00:00"/>
    <s v="Eve"/>
    <x v="3"/>
    <n v="3439.72"/>
    <x v="13"/>
    <s v="Clothing"/>
    <n v="4756.55"/>
    <n v="4888.46"/>
    <s v="New"/>
    <n v="0.28999999999999998"/>
    <x v="2"/>
    <x v="0"/>
    <s v="East-Eve"/>
  </r>
  <r>
    <n v="1062"/>
    <d v="2023-11-18T00:00:00"/>
    <s v="Alice"/>
    <x v="3"/>
    <n v="291.33999999999997"/>
    <x v="26"/>
    <s v="Furniture"/>
    <n v="1088.99"/>
    <n v="1545"/>
    <s v="Returning"/>
    <n v="0.04"/>
    <x v="1"/>
    <x v="1"/>
    <s v="East-Alice"/>
  </r>
  <r>
    <n v="1047"/>
    <d v="2023-08-08T00:00:00"/>
    <s v="David"/>
    <x v="0"/>
    <n v="1331.25"/>
    <x v="19"/>
    <s v="Electronics"/>
    <n v="1341.55"/>
    <n v="1427.21"/>
    <s v="Returning"/>
    <n v="0.15"/>
    <x v="2"/>
    <x v="0"/>
    <s v="North-David"/>
  </r>
  <r>
    <n v="1062"/>
    <d v="2023-03-16T00:00:00"/>
    <s v="David"/>
    <x v="1"/>
    <n v="4195.0600000000004"/>
    <x v="27"/>
    <s v="Furniture"/>
    <n v="4849.6000000000004"/>
    <n v="5166.72"/>
    <s v="Returning"/>
    <n v="0.25"/>
    <x v="2"/>
    <x v="0"/>
    <s v="West-David"/>
  </r>
  <r>
    <n v="1051"/>
    <d v="2023-01-04T00:00:00"/>
    <s v="Eve"/>
    <x v="0"/>
    <n v="4979.3599999999997"/>
    <x v="28"/>
    <s v="Electronics"/>
    <n v="3686.81"/>
    <n v="3710.92"/>
    <s v="New"/>
    <n v="0.1"/>
    <x v="1"/>
    <x v="1"/>
    <s v="North-Eve"/>
  </r>
  <r>
    <n v="1055"/>
    <d v="2023-12-01T00:00:00"/>
    <s v="Charlie"/>
    <x v="1"/>
    <n v="4102.47"/>
    <x v="29"/>
    <s v="Furniture"/>
    <n v="3513"/>
    <n v="3838.42"/>
    <s v="Returning"/>
    <n v="0.13"/>
    <x v="1"/>
    <x v="0"/>
    <s v="West-Charlie"/>
  </r>
  <r>
    <n v="1064"/>
    <d v="2023-05-14T00:00:00"/>
    <s v="Bob"/>
    <x v="2"/>
    <n v="5356.28"/>
    <x v="29"/>
    <s v="Electronics"/>
    <n v="4271.99"/>
    <n v="4417.79"/>
    <s v="Returning"/>
    <n v="0.04"/>
    <x v="0"/>
    <x v="0"/>
    <s v="South-Bob"/>
  </r>
  <r>
    <n v="1003"/>
    <d v="2023-04-28T00:00:00"/>
    <s v="Charlie"/>
    <x v="2"/>
    <n v="5991.8"/>
    <x v="30"/>
    <s v="Furniture"/>
    <n v="623.32000000000005"/>
    <n v="853.66"/>
    <s v="Returning"/>
    <n v="0.04"/>
    <x v="0"/>
    <x v="0"/>
    <s v="South-Charlie"/>
  </r>
  <r>
    <n v="1051"/>
    <d v="2023-04-04T00:00:00"/>
    <s v="Bob"/>
    <x v="3"/>
    <n v="198.25"/>
    <x v="26"/>
    <s v="Electronics"/>
    <n v="3544.48"/>
    <n v="3723.66"/>
    <s v="Returning"/>
    <n v="0.19"/>
    <x v="0"/>
    <x v="0"/>
    <s v="East-Bob"/>
  </r>
  <r>
    <n v="1007"/>
    <d v="2023-03-03T00:00:00"/>
    <s v="Eve"/>
    <x v="1"/>
    <n v="4694.54"/>
    <x v="21"/>
    <s v="Food"/>
    <n v="2543.2600000000002"/>
    <n v="2637.91"/>
    <s v="Returning"/>
    <n v="0.2"/>
    <x v="2"/>
    <x v="0"/>
    <s v="West-Eve"/>
  </r>
  <r>
    <n v="1021"/>
    <d v="2023-07-13T00:00:00"/>
    <s v="Bob"/>
    <x v="1"/>
    <n v="9638.64"/>
    <x v="8"/>
    <s v="Furniture"/>
    <n v="4154.3"/>
    <n v="4469.07"/>
    <s v="Returning"/>
    <n v="0.23"/>
    <x v="0"/>
    <x v="1"/>
    <s v="West-Bob"/>
  </r>
  <r>
    <n v="1073"/>
    <d v="2023-12-01T00:00:00"/>
    <s v="David"/>
    <x v="1"/>
    <n v="5238.42"/>
    <x v="11"/>
    <s v="Furniture"/>
    <n v="2565.3000000000002"/>
    <n v="3007.47"/>
    <s v="Returning"/>
    <n v="0.17"/>
    <x v="2"/>
    <x v="1"/>
    <s v="West-David"/>
  </r>
  <r>
    <n v="1039"/>
    <d v="2023-07-22T00:00:00"/>
    <s v="Alice"/>
    <x v="3"/>
    <n v="6807.67"/>
    <x v="31"/>
    <s v="Clothing"/>
    <n v="3120.19"/>
    <n v="3600.14"/>
    <s v="Returning"/>
    <n v="0.19"/>
    <x v="2"/>
    <x v="1"/>
    <s v="East-Alice"/>
  </r>
  <r>
    <n v="1018"/>
    <d v="2023-01-26T00:00:00"/>
    <s v="Alice"/>
    <x v="3"/>
    <n v="3187.45"/>
    <x v="23"/>
    <s v="Clothing"/>
    <n v="2414.8200000000002"/>
    <n v="2519.0700000000002"/>
    <s v="Returning"/>
    <n v="0"/>
    <x v="0"/>
    <x v="0"/>
    <s v="East-Alice"/>
  </r>
  <r>
    <n v="1004"/>
    <d v="2023-06-22T00:00:00"/>
    <s v="Eve"/>
    <x v="2"/>
    <n v="7762.51"/>
    <x v="3"/>
    <s v="Electronics"/>
    <n v="2416.89"/>
    <n v="2778.3999999999901"/>
    <s v="Returning"/>
    <n v="0.05"/>
    <x v="0"/>
    <x v="0"/>
    <s v="South-Eve"/>
  </r>
  <r>
    <n v="1089"/>
    <d v="2023-10-27T00:00:00"/>
    <s v="David"/>
    <x v="0"/>
    <n v="7751.92"/>
    <x v="8"/>
    <s v="Furniture"/>
    <n v="3851.45"/>
    <n v="4186.9799999999996"/>
    <s v="Returning"/>
    <n v="0.3"/>
    <x v="2"/>
    <x v="0"/>
    <s v="North-David"/>
  </r>
  <r>
    <n v="1060"/>
    <d v="2023-05-13T00:00:00"/>
    <s v="Charlie"/>
    <x v="1"/>
    <n v="5260.83"/>
    <x v="17"/>
    <s v="Electronics"/>
    <n v="3161.4"/>
    <n v="3339.66"/>
    <s v="Returning"/>
    <n v="0.02"/>
    <x v="1"/>
    <x v="0"/>
    <s v="West-Charlie"/>
  </r>
  <r>
    <n v="1014"/>
    <d v="2023-11-22T00:00:00"/>
    <s v="David"/>
    <x v="1"/>
    <n v="9762.5400000000009"/>
    <x v="1"/>
    <s v="Food"/>
    <n v="3184.65"/>
    <n v="3204.01"/>
    <s v="New"/>
    <n v="0.2"/>
    <x v="1"/>
    <x v="0"/>
    <s v="West-David"/>
  </r>
  <r>
    <n v="1009"/>
    <d v="2023-04-28T00:00:00"/>
    <s v="Alice"/>
    <x v="0"/>
    <n v="1342.95"/>
    <x v="19"/>
    <s v="Clothing"/>
    <n v="2278.9"/>
    <n v="2626.9"/>
    <s v="New"/>
    <n v="0.05"/>
    <x v="2"/>
    <x v="0"/>
    <s v="North-Alice"/>
  </r>
  <r>
    <n v="1090"/>
    <d v="2023-11-20T00:00:00"/>
    <s v="Alice"/>
    <x v="1"/>
    <n v="267.77999999999997"/>
    <x v="5"/>
    <s v="Electronics"/>
    <n v="2678.99"/>
    <n v="3152.2799999999902"/>
    <s v="Returning"/>
    <n v="0.22"/>
    <x v="0"/>
    <x v="1"/>
    <s v="West-Alice"/>
  </r>
  <r>
    <n v="1053"/>
    <d v="2023-10-02T00:00:00"/>
    <s v="David"/>
    <x v="3"/>
    <n v="7724.57"/>
    <x v="6"/>
    <s v="Electronics"/>
    <n v="3741.3"/>
    <n v="4061.04"/>
    <s v="Returning"/>
    <n v="0.21"/>
    <x v="2"/>
    <x v="0"/>
    <s v="East-David"/>
  </r>
  <r>
    <n v="1002"/>
    <d v="2023-07-31T00:00:00"/>
    <s v="David"/>
    <x v="3"/>
    <n v="8090.84"/>
    <x v="9"/>
    <s v="Clothing"/>
    <n v="4138.41"/>
    <n v="4361.7"/>
    <s v="Returning"/>
    <n v="7.0000000000000007E-2"/>
    <x v="2"/>
    <x v="1"/>
    <s v="East-David"/>
  </r>
  <r>
    <n v="1084"/>
    <d v="2023-08-13T00:00:00"/>
    <s v="Alice"/>
    <x v="1"/>
    <n v="1290.05"/>
    <x v="9"/>
    <s v="Furniture"/>
    <n v="3497.98"/>
    <n v="3765.31"/>
    <s v="New"/>
    <n v="0.08"/>
    <x v="0"/>
    <x v="0"/>
    <s v="West-Alice"/>
  </r>
  <r>
    <n v="1092"/>
    <d v="2023-01-20T00:00:00"/>
    <s v="Charlie"/>
    <x v="3"/>
    <n v="2729.27"/>
    <x v="11"/>
    <s v="Electronics"/>
    <n v="4624.16"/>
    <n v="4731.9799999999996"/>
    <s v="New"/>
    <n v="0.2"/>
    <x v="1"/>
    <x v="1"/>
    <s v="East-Charlie"/>
  </r>
  <r>
    <n v="1060"/>
    <d v="2023-04-23T00:00:00"/>
    <s v="Eve"/>
    <x v="3"/>
    <n v="273.77"/>
    <x v="18"/>
    <s v="Clothing"/>
    <n v="4110.6000000000004"/>
    <n v="4488.37"/>
    <s v="New"/>
    <n v="0.12"/>
    <x v="2"/>
    <x v="0"/>
    <s v="East-Eve"/>
  </r>
  <r>
    <n v="1071"/>
    <d v="2023-05-20T00:00:00"/>
    <s v="Eve"/>
    <x v="1"/>
    <n v="3003.76"/>
    <x v="32"/>
    <s v="Furniture"/>
    <n v="2831.23"/>
    <n v="3206.98"/>
    <s v="Returning"/>
    <n v="0.06"/>
    <x v="1"/>
    <x v="1"/>
    <s v="West-Eve"/>
  </r>
  <r>
    <n v="1044"/>
    <d v="2023-02-16T00:00:00"/>
    <s v="David"/>
    <x v="2"/>
    <n v="7754.1"/>
    <x v="33"/>
    <s v="Food"/>
    <n v="3373.46"/>
    <n v="3454.76"/>
    <s v="Returning"/>
    <n v="0.22"/>
    <x v="1"/>
    <x v="1"/>
    <s v="South-David"/>
  </r>
  <r>
    <n v="1008"/>
    <d v="2023-01-01T00:00:00"/>
    <s v="Eve"/>
    <x v="0"/>
    <n v="5227.8100000000004"/>
    <x v="34"/>
    <s v="Clothing"/>
    <n v="4635.2299999999996"/>
    <n v="5075.4399999999996"/>
    <s v="Returning"/>
    <n v="0.05"/>
    <x v="0"/>
    <x v="0"/>
    <s v="North-Eve"/>
  </r>
  <r>
    <n v="1047"/>
    <d v="2023-03-31T00:00:00"/>
    <s v="Alice"/>
    <x v="3"/>
    <n v="3546.15"/>
    <x v="35"/>
    <s v="Electronics"/>
    <n v="3114.88"/>
    <n v="3256.78"/>
    <s v="Returning"/>
    <n v="0.26"/>
    <x v="2"/>
    <x v="0"/>
    <s v="East-Alice"/>
  </r>
  <r>
    <n v="1035"/>
    <d v="2023-05-22T00:00:00"/>
    <s v="Alice"/>
    <x v="2"/>
    <n v="3780.22"/>
    <x v="27"/>
    <s v="Food"/>
    <n v="4132.79"/>
    <n v="4624.1000000000004"/>
    <s v="New"/>
    <n v="0.15"/>
    <x v="2"/>
    <x v="1"/>
    <s v="South-Alice"/>
  </r>
  <r>
    <n v="1078"/>
    <d v="2023-11-16T00:00:00"/>
    <s v="David"/>
    <x v="3"/>
    <n v="113.4"/>
    <x v="29"/>
    <s v="Furniture"/>
    <n v="3459.61"/>
    <n v="3657.23"/>
    <s v="Returning"/>
    <n v="0.03"/>
    <x v="1"/>
    <x v="0"/>
    <s v="East-David"/>
  </r>
  <r>
    <n v="1081"/>
    <d v="2023-02-07T00:00:00"/>
    <s v="David"/>
    <x v="3"/>
    <n v="3068.03"/>
    <x v="36"/>
    <s v="Furniture"/>
    <n v="2782.08"/>
    <n v="2879.24"/>
    <s v="New"/>
    <n v="0.21"/>
    <x v="1"/>
    <x v="0"/>
    <s v="East-David"/>
  </r>
  <r>
    <n v="1036"/>
    <d v="2023-10-20T00:00:00"/>
    <s v="David"/>
    <x v="0"/>
    <n v="6499.94"/>
    <x v="37"/>
    <s v="Clothing"/>
    <n v="1247.0999999999999"/>
    <n v="1429.4399999999901"/>
    <s v="New"/>
    <n v="0.16"/>
    <x v="0"/>
    <x v="0"/>
    <s v="North-David"/>
  </r>
  <r>
    <n v="1050"/>
    <d v="2023-05-19T00:00:00"/>
    <s v="Charlie"/>
    <x v="3"/>
    <n v="9744.52"/>
    <x v="22"/>
    <s v="Clothing"/>
    <n v="2158.69"/>
    <n v="2384.38"/>
    <s v="Returning"/>
    <n v="0.09"/>
    <x v="1"/>
    <x v="1"/>
    <s v="East-Charlie"/>
  </r>
  <r>
    <n v="1004"/>
    <d v="2023-12-22T00:00:00"/>
    <s v="Eve"/>
    <x v="0"/>
    <n v="8485.9"/>
    <x v="23"/>
    <s v="Clothing"/>
    <n v="4840.33"/>
    <n v="4884.29"/>
    <s v="New"/>
    <n v="0.13"/>
    <x v="0"/>
    <x v="0"/>
    <s v="North-Eve"/>
  </r>
  <r>
    <n v="1002"/>
    <d v="2023-11-29T00:00:00"/>
    <s v="David"/>
    <x v="0"/>
    <n v="333.59"/>
    <x v="38"/>
    <s v="Furniture"/>
    <n v="3305.94"/>
    <n v="3599.27"/>
    <s v="New"/>
    <n v="0.09"/>
    <x v="2"/>
    <x v="1"/>
    <s v="North-David"/>
  </r>
  <r>
    <n v="1006"/>
    <d v="2023-09-16T00:00:00"/>
    <s v="Bob"/>
    <x v="0"/>
    <n v="8995.75"/>
    <x v="37"/>
    <s v="Food"/>
    <n v="2843.76"/>
    <n v="3146.6"/>
    <s v="New"/>
    <n v="0.08"/>
    <x v="0"/>
    <x v="1"/>
    <s v="North-Bob"/>
  </r>
  <r>
    <n v="1054"/>
    <d v="2023-06-10T00:00:00"/>
    <s v="Bob"/>
    <x v="2"/>
    <n v="7853.66"/>
    <x v="9"/>
    <s v="Furniture"/>
    <n v="4668.1400000000003"/>
    <n v="5040.22"/>
    <s v="New"/>
    <n v="0.05"/>
    <x v="1"/>
    <x v="0"/>
    <s v="South-Bob"/>
  </r>
  <r>
    <n v="1004"/>
    <d v="2023-06-27T00:00:00"/>
    <s v="Alice"/>
    <x v="1"/>
    <n v="7825.72"/>
    <x v="39"/>
    <s v="Electronics"/>
    <n v="2953.23"/>
    <n v="2977.52"/>
    <s v="Returning"/>
    <n v="0.11"/>
    <x v="2"/>
    <x v="1"/>
    <s v="West-Alice"/>
  </r>
  <r>
    <n v="1054"/>
    <d v="2023-01-10T00:00:00"/>
    <s v="Eve"/>
    <x v="2"/>
    <n v="4634.16"/>
    <x v="11"/>
    <s v="Furniture"/>
    <n v="2654.11"/>
    <n v="2929.32"/>
    <s v="Returning"/>
    <n v="0.08"/>
    <x v="0"/>
    <x v="0"/>
    <s v="South-Eve"/>
  </r>
  <r>
    <n v="1093"/>
    <d v="2023-09-18T00:00:00"/>
    <s v="David"/>
    <x v="1"/>
    <n v="4040.25"/>
    <x v="12"/>
    <s v="Electronics"/>
    <n v="3808.59"/>
    <n v="3844.51"/>
    <s v="New"/>
    <n v="0.21"/>
    <x v="2"/>
    <x v="0"/>
    <s v="West-David"/>
  </r>
  <r>
    <n v="1063"/>
    <d v="2023-05-18T00:00:00"/>
    <s v="Bob"/>
    <x v="1"/>
    <n v="3098.87"/>
    <x v="3"/>
    <s v="Food"/>
    <n v="3577.69"/>
    <n v="3931.25"/>
    <s v="Returning"/>
    <n v="0.21"/>
    <x v="0"/>
    <x v="1"/>
    <s v="West-Bob"/>
  </r>
  <r>
    <n v="1018"/>
    <d v="2023-06-21T00:00:00"/>
    <s v="Eve"/>
    <x v="0"/>
    <n v="750.38"/>
    <x v="40"/>
    <s v="Clothing"/>
    <n v="1006.14"/>
    <n v="1043.45"/>
    <s v="New"/>
    <n v="0.15"/>
    <x v="1"/>
    <x v="1"/>
    <s v="North-Eve"/>
  </r>
  <r>
    <n v="1090"/>
    <d v="2023-01-13T00:00:00"/>
    <s v="Alice"/>
    <x v="3"/>
    <n v="2359.5300000000002"/>
    <x v="1"/>
    <s v="Clothing"/>
    <n v="2382.98"/>
    <n v="2839.73"/>
    <s v="Returning"/>
    <n v="0.23"/>
    <x v="1"/>
    <x v="1"/>
    <s v="East-Alice"/>
  </r>
  <r>
    <n v="1044"/>
    <d v="2023-06-17T00:00:00"/>
    <s v="Charlie"/>
    <x v="0"/>
    <n v="2541.38"/>
    <x v="32"/>
    <s v="Furniture"/>
    <n v="2388.9499999999998"/>
    <n v="2742.97"/>
    <s v="Returning"/>
    <n v="0.25"/>
    <x v="2"/>
    <x v="1"/>
    <s v="North-Charlie"/>
  </r>
  <r>
    <n v="1034"/>
    <d v="2023-05-10T00:00:00"/>
    <s v="Eve"/>
    <x v="3"/>
    <n v="4892.3599999999997"/>
    <x v="12"/>
    <s v="Clothing"/>
    <n v="1922.21"/>
    <n v="2180.83"/>
    <s v="Returning"/>
    <n v="0.17"/>
    <x v="2"/>
    <x v="1"/>
    <s v="East-Eve"/>
  </r>
  <r>
    <n v="1074"/>
    <d v="2023-03-25T00:00:00"/>
    <s v="Eve"/>
    <x v="1"/>
    <n v="7499.7"/>
    <x v="34"/>
    <s v="Food"/>
    <n v="2610.6"/>
    <n v="2836.94"/>
    <s v="Returning"/>
    <n v="0.19"/>
    <x v="2"/>
    <x v="0"/>
    <s v="West-Eve"/>
  </r>
  <r>
    <n v="1062"/>
    <d v="2023-11-17T00:00:00"/>
    <s v="Charlie"/>
    <x v="0"/>
    <n v="4790.72"/>
    <x v="40"/>
    <s v="Clothing"/>
    <n v="2094.88"/>
    <n v="2168.91"/>
    <s v="Returning"/>
    <n v="0.08"/>
    <x v="0"/>
    <x v="1"/>
    <s v="North-Charlie"/>
  </r>
  <r>
    <n v="1100"/>
    <d v="2023-11-15T00:00:00"/>
    <s v="Eve"/>
    <x v="3"/>
    <n v="672.66"/>
    <x v="39"/>
    <s v="Furniture"/>
    <n v="1036.76"/>
    <n v="1189.3499999999999"/>
    <s v="New"/>
    <n v="0.27"/>
    <x v="1"/>
    <x v="0"/>
    <s v="East-Eve"/>
  </r>
  <r>
    <n v="1014"/>
    <d v="2023-04-11T00:00:00"/>
    <s v="Alice"/>
    <x v="2"/>
    <n v="9582.1200000000008"/>
    <x v="34"/>
    <s v="Food"/>
    <n v="2091.21"/>
    <n v="2527"/>
    <s v="Returning"/>
    <n v="0.01"/>
    <x v="2"/>
    <x v="0"/>
    <s v="South-Alice"/>
  </r>
  <r>
    <n v="1095"/>
    <d v="2023-11-25T00:00:00"/>
    <s v="Alice"/>
    <x v="3"/>
    <n v="9432.9699999999993"/>
    <x v="35"/>
    <s v="Electronics"/>
    <n v="407.77"/>
    <n v="860.95"/>
    <s v="New"/>
    <n v="0.1"/>
    <x v="2"/>
    <x v="1"/>
    <s v="East-Alice"/>
  </r>
  <r>
    <n v="1048"/>
    <d v="2023-09-30T00:00:00"/>
    <s v="Charlie"/>
    <x v="0"/>
    <n v="7873.38"/>
    <x v="41"/>
    <s v="Furniture"/>
    <n v="2900.14"/>
    <n v="2910.5099999999902"/>
    <s v="New"/>
    <n v="0.22"/>
    <x v="2"/>
    <x v="1"/>
    <s v="North-Charlie"/>
  </r>
  <r>
    <n v="1015"/>
    <d v="2023-09-22T00:00:00"/>
    <s v="David"/>
    <x v="2"/>
    <n v="9914.15"/>
    <x v="33"/>
    <s v="Electronics"/>
    <n v="4275.59"/>
    <n v="4576.72"/>
    <s v="Returning"/>
    <n v="0.02"/>
    <x v="0"/>
    <x v="1"/>
    <s v="South-David"/>
  </r>
  <r>
    <n v="1072"/>
    <d v="2023-02-07T00:00:00"/>
    <s v="Bob"/>
    <x v="3"/>
    <n v="5490.38"/>
    <x v="42"/>
    <s v="Food"/>
    <n v="3640.17"/>
    <n v="4002.63"/>
    <s v="New"/>
    <n v="0.05"/>
    <x v="2"/>
    <x v="1"/>
    <s v="East-Bob"/>
  </r>
  <r>
    <n v="1078"/>
    <d v="2023-04-04T00:00:00"/>
    <s v="David"/>
    <x v="3"/>
    <n v="9631.41"/>
    <x v="37"/>
    <s v="Furniture"/>
    <n v="1833.95"/>
    <n v="2147.14"/>
    <s v="Returning"/>
    <n v="0.18"/>
    <x v="2"/>
    <x v="1"/>
    <s v="East-David"/>
  </r>
  <r>
    <n v="1087"/>
    <d v="2023-04-05T00:00:00"/>
    <s v="Eve"/>
    <x v="3"/>
    <n v="848.49"/>
    <x v="8"/>
    <s v="Furniture"/>
    <n v="481"/>
    <n v="531.02"/>
    <s v="New"/>
    <n v="0.17"/>
    <x v="0"/>
    <x v="0"/>
    <s v="East-Eve"/>
  </r>
  <r>
    <n v="1062"/>
    <d v="2023-11-01T00:00:00"/>
    <s v="Bob"/>
    <x v="3"/>
    <n v="3720.24"/>
    <x v="43"/>
    <s v="Food"/>
    <n v="1050.6400000000001"/>
    <n v="1167.33"/>
    <s v="New"/>
    <n v="0.22"/>
    <x v="0"/>
    <x v="0"/>
    <s v="East-Bob"/>
  </r>
  <r>
    <n v="1040"/>
    <d v="2023-03-10T00:00:00"/>
    <s v="Charlie"/>
    <x v="3"/>
    <n v="2331.27"/>
    <x v="4"/>
    <s v="Clothing"/>
    <n v="2750.18"/>
    <n v="2882.85"/>
    <s v="Returning"/>
    <n v="0.24"/>
    <x v="2"/>
    <x v="0"/>
    <s v="East-Charlie"/>
  </r>
  <r>
    <n v="1085"/>
    <d v="2023-11-14T00:00:00"/>
    <s v="Charlie"/>
    <x v="2"/>
    <n v="2038.75"/>
    <x v="5"/>
    <s v="Furniture"/>
    <n v="1074.93"/>
    <n v="1492.48"/>
    <s v="Returning"/>
    <n v="0.04"/>
    <x v="2"/>
    <x v="1"/>
    <s v="South-Charlie"/>
  </r>
  <r>
    <n v="1080"/>
    <d v="2023-08-24T00:00:00"/>
    <s v="Bob"/>
    <x v="1"/>
    <n v="1493.95"/>
    <x v="1"/>
    <s v="Furniture"/>
    <n v="2742.67"/>
    <n v="2979.64"/>
    <s v="Returning"/>
    <n v="0.01"/>
    <x v="0"/>
    <x v="1"/>
    <s v="West-Bob"/>
  </r>
  <r>
    <n v="1082"/>
    <d v="2023-11-30T00:00:00"/>
    <s v="Alice"/>
    <x v="2"/>
    <n v="6261.9"/>
    <x v="36"/>
    <s v="Electronics"/>
    <n v="1196.42"/>
    <n v="1444.97"/>
    <s v="Returning"/>
    <n v="0.21"/>
    <x v="1"/>
    <x v="0"/>
    <s v="South-Alice"/>
  </r>
  <r>
    <n v="1053"/>
    <d v="2023-05-17T00:00:00"/>
    <s v="Bob"/>
    <x v="2"/>
    <n v="7835.09"/>
    <x v="43"/>
    <s v="Clothing"/>
    <n v="4252.17"/>
    <n v="4720.2700000000004"/>
    <s v="New"/>
    <n v="0.09"/>
    <x v="0"/>
    <x v="1"/>
    <s v="South-Bob"/>
  </r>
  <r>
    <n v="1024"/>
    <d v="2023-03-17T00:00:00"/>
    <s v="Eve"/>
    <x v="2"/>
    <n v="5825.15"/>
    <x v="7"/>
    <s v="Electronics"/>
    <n v="2016.49"/>
    <n v="2338.66"/>
    <s v="Returning"/>
    <n v="0.19"/>
    <x v="1"/>
    <x v="1"/>
    <s v="South-Eve"/>
  </r>
  <r>
    <n v="1026"/>
    <d v="2023-02-04T00:00:00"/>
    <s v="Alice"/>
    <x v="1"/>
    <n v="1554.93"/>
    <x v="12"/>
    <s v="Electronics"/>
    <n v="1265.48"/>
    <n v="1715.83"/>
    <s v="New"/>
    <n v="0.05"/>
    <x v="2"/>
    <x v="1"/>
    <s v="West-Alice"/>
  </r>
  <r>
    <n v="1089"/>
    <d v="2023-01-01T00:00:00"/>
    <s v="Charlie"/>
    <x v="0"/>
    <n v="8130.13"/>
    <x v="22"/>
    <s v="Clothing"/>
    <n v="4071.01"/>
    <n v="4304.7"/>
    <s v="New"/>
    <n v="0.14000000000000001"/>
    <x v="2"/>
    <x v="0"/>
    <s v="North-Charlie"/>
  </r>
  <r>
    <n v="1060"/>
    <d v="2023-10-23T00:00:00"/>
    <s v="Bob"/>
    <x v="1"/>
    <n v="6395.95"/>
    <x v="7"/>
    <s v="Clothing"/>
    <n v="1747.05"/>
    <n v="1830.27"/>
    <s v="New"/>
    <n v="0.15"/>
    <x v="1"/>
    <x v="1"/>
    <s v="West-Bob"/>
  </r>
  <r>
    <n v="1041"/>
    <d v="2023-11-16T00:00:00"/>
    <s v="David"/>
    <x v="2"/>
    <n v="3942.84"/>
    <x v="11"/>
    <s v="Food"/>
    <n v="601.86"/>
    <n v="1067.53"/>
    <s v="New"/>
    <n v="0.18"/>
    <x v="0"/>
    <x v="0"/>
    <s v="South-David"/>
  </r>
  <r>
    <n v="1029"/>
    <d v="2023-03-01T00:00:00"/>
    <s v="David"/>
    <x v="3"/>
    <n v="6773.89"/>
    <x v="40"/>
    <s v="Clothing"/>
    <n v="2873.53"/>
    <n v="3108.3"/>
    <s v="New"/>
    <n v="0.15"/>
    <x v="2"/>
    <x v="1"/>
    <s v="East-David"/>
  </r>
  <r>
    <n v="1015"/>
    <d v="2023-11-16T00:00:00"/>
    <s v="Eve"/>
    <x v="3"/>
    <n v="2673.06"/>
    <x v="21"/>
    <s v="Furniture"/>
    <n v="2928.74"/>
    <n v="3027.74"/>
    <s v="New"/>
    <n v="0.15"/>
    <x v="1"/>
    <x v="1"/>
    <s v="East-Eve"/>
  </r>
  <r>
    <n v="1045"/>
    <d v="2023-12-15T00:00:00"/>
    <s v="David"/>
    <x v="2"/>
    <n v="3517.4"/>
    <x v="31"/>
    <s v="Clothing"/>
    <n v="3587.74"/>
    <n v="3745.91"/>
    <s v="Returning"/>
    <n v="0.1"/>
    <x v="0"/>
    <x v="0"/>
    <s v="South-David"/>
  </r>
  <r>
    <n v="1065"/>
    <d v="2023-11-24T00:00:00"/>
    <s v="Bob"/>
    <x v="3"/>
    <n v="9183.11"/>
    <x v="0"/>
    <s v="Food"/>
    <n v="1239.0899999999999"/>
    <n v="1273.98"/>
    <s v="New"/>
    <n v="0.02"/>
    <x v="1"/>
    <x v="1"/>
    <s v="East-Bob"/>
  </r>
  <r>
    <n v="1089"/>
    <d v="2023-09-24T00:00:00"/>
    <s v="Bob"/>
    <x v="2"/>
    <n v="2975.99"/>
    <x v="10"/>
    <s v="Food"/>
    <n v="2246.67"/>
    <n v="2486.14"/>
    <s v="New"/>
    <n v="0.03"/>
    <x v="0"/>
    <x v="1"/>
    <s v="South-Bob"/>
  </r>
  <r>
    <n v="1071"/>
    <d v="2023-12-27T00:00:00"/>
    <s v="David"/>
    <x v="3"/>
    <n v="4752.88"/>
    <x v="11"/>
    <s v="Food"/>
    <n v="1447.72"/>
    <n v="1875.75"/>
    <s v="New"/>
    <n v="0.13"/>
    <x v="0"/>
    <x v="1"/>
    <s v="East-David"/>
  </r>
  <r>
    <n v="1009"/>
    <d v="2023-08-17T00:00:00"/>
    <s v="Bob"/>
    <x v="1"/>
    <n v="8912.4"/>
    <x v="19"/>
    <s v="Clothing"/>
    <n v="450.72"/>
    <n v="918.17"/>
    <s v="Returning"/>
    <n v="0.11"/>
    <x v="0"/>
    <x v="0"/>
    <s v="West-Bob"/>
  </r>
  <r>
    <n v="1088"/>
    <d v="2023-09-27T00:00:00"/>
    <s v="Eve"/>
    <x v="0"/>
    <n v="7106.44"/>
    <x v="26"/>
    <s v="Clothing"/>
    <n v="4389.24"/>
    <n v="4856.2199999999903"/>
    <s v="Returning"/>
    <n v="0.15"/>
    <x v="0"/>
    <x v="1"/>
    <s v="North-Eve"/>
  </r>
  <r>
    <n v="1001"/>
    <d v="2023-11-12T00:00:00"/>
    <s v="Alice"/>
    <x v="0"/>
    <n v="715.81"/>
    <x v="29"/>
    <s v="Electronics"/>
    <n v="3657.91"/>
    <n v="3729.27"/>
    <s v="New"/>
    <n v="0.09"/>
    <x v="1"/>
    <x v="1"/>
    <s v="North-Alice"/>
  </r>
  <r>
    <n v="1008"/>
    <d v="2023-10-13T00:00:00"/>
    <s v="Eve"/>
    <x v="1"/>
    <n v="1558.3"/>
    <x v="38"/>
    <s v="Electronics"/>
    <n v="1542.24"/>
    <n v="1739.45"/>
    <s v="Returning"/>
    <n v="0.21"/>
    <x v="1"/>
    <x v="1"/>
    <s v="West-Eve"/>
  </r>
  <r>
    <n v="1088"/>
    <d v="2023-10-18T00:00:00"/>
    <s v="Eve"/>
    <x v="1"/>
    <n v="177.63"/>
    <x v="25"/>
    <s v="Furniture"/>
    <n v="3016.9"/>
    <n v="3040.73"/>
    <s v="New"/>
    <n v="0.26"/>
    <x v="1"/>
    <x v="1"/>
    <s v="West-Eve"/>
  </r>
  <r>
    <n v="1063"/>
    <d v="2023-08-01T00:00:00"/>
    <s v="Bob"/>
    <x v="2"/>
    <n v="6346.13"/>
    <x v="41"/>
    <s v="Electronics"/>
    <n v="1046.26"/>
    <n v="1475.29"/>
    <s v="Returning"/>
    <n v="0.09"/>
    <x v="1"/>
    <x v="1"/>
    <s v="South-Bob"/>
  </r>
  <r>
    <n v="1011"/>
    <d v="2023-06-14T00:00:00"/>
    <s v="Alice"/>
    <x v="2"/>
    <n v="4531.97"/>
    <x v="34"/>
    <s v="Furniture"/>
    <n v="4456.67"/>
    <n v="4642.46"/>
    <s v="New"/>
    <n v="0.06"/>
    <x v="1"/>
    <x v="0"/>
    <s v="South-Alice"/>
  </r>
  <r>
    <n v="1081"/>
    <d v="2023-01-05T00:00:00"/>
    <s v="Bob"/>
    <x v="2"/>
    <n v="1429.32"/>
    <x v="16"/>
    <s v="Food"/>
    <n v="618.79"/>
    <n v="938.04"/>
    <s v="Returning"/>
    <n v="0.03"/>
    <x v="0"/>
    <x v="0"/>
    <s v="South-Bob"/>
  </r>
  <r>
    <n v="1008"/>
    <d v="2023-12-05T00:00:00"/>
    <s v="Charlie"/>
    <x v="3"/>
    <n v="9583.5499999999993"/>
    <x v="30"/>
    <s v="Electronics"/>
    <n v="68.989999999999995"/>
    <n v="429.29"/>
    <s v="Returning"/>
    <n v="0.18"/>
    <x v="2"/>
    <x v="1"/>
    <s v="East-Charlie"/>
  </r>
  <r>
    <n v="1035"/>
    <d v="2023-03-19T00:00:00"/>
    <s v="Bob"/>
    <x v="2"/>
    <n v="5343.63"/>
    <x v="14"/>
    <s v="Clothing"/>
    <n v="2534.94"/>
    <n v="2755.56"/>
    <s v="Returning"/>
    <n v="0.13"/>
    <x v="2"/>
    <x v="1"/>
    <s v="South-Bob"/>
  </r>
  <r>
    <n v="1035"/>
    <d v="2023-03-03T00:00:00"/>
    <s v="Bob"/>
    <x v="1"/>
    <n v="2494.7399999999998"/>
    <x v="20"/>
    <s v="Electronics"/>
    <n v="2936.48"/>
    <n v="3096.64"/>
    <s v="New"/>
    <n v="0.06"/>
    <x v="1"/>
    <x v="0"/>
    <s v="West-Bob"/>
  </r>
  <r>
    <n v="1033"/>
    <d v="2023-05-12T00:00:00"/>
    <s v="Bob"/>
    <x v="0"/>
    <n v="5055.9799999999996"/>
    <x v="25"/>
    <s v="Furniture"/>
    <n v="2915.88"/>
    <n v="3397.36"/>
    <s v="New"/>
    <n v="0.2"/>
    <x v="1"/>
    <x v="1"/>
    <s v="North-Bob"/>
  </r>
  <r>
    <n v="1005"/>
    <d v="2023-03-30T00:00:00"/>
    <s v="Alice"/>
    <x v="3"/>
    <n v="6828.24"/>
    <x v="26"/>
    <s v="Electronics"/>
    <n v="319.83"/>
    <n v="802.43"/>
    <s v="New"/>
    <n v="0.04"/>
    <x v="2"/>
    <x v="1"/>
    <s v="East-Alice"/>
  </r>
  <r>
    <n v="1041"/>
    <d v="2023-08-25T00:00:00"/>
    <s v="Bob"/>
    <x v="2"/>
    <n v="854.77"/>
    <x v="17"/>
    <s v="Food"/>
    <n v="1604.52"/>
    <n v="1756.34"/>
    <s v="Returning"/>
    <n v="0.17"/>
    <x v="0"/>
    <x v="1"/>
    <s v="South-Bob"/>
  </r>
  <r>
    <n v="1028"/>
    <d v="2023-02-11T00:00:00"/>
    <s v="Alice"/>
    <x v="3"/>
    <n v="2819.57"/>
    <x v="38"/>
    <s v="Clothing"/>
    <n v="2521.0300000000002"/>
    <n v="2766.05"/>
    <s v="Returning"/>
    <n v="0.16"/>
    <x v="1"/>
    <x v="1"/>
    <s v="East-Alice"/>
  </r>
  <r>
    <n v="1007"/>
    <d v="2023-03-30T00:00:00"/>
    <s v="David"/>
    <x v="3"/>
    <n v="8088.96"/>
    <x v="28"/>
    <s v="Furniture"/>
    <n v="1122.07"/>
    <n v="1608.76"/>
    <s v="New"/>
    <n v="0.22"/>
    <x v="0"/>
    <x v="1"/>
    <s v="East-David"/>
  </r>
  <r>
    <n v="1073"/>
    <d v="2023-10-23T00:00:00"/>
    <s v="Charlie"/>
    <x v="2"/>
    <n v="4650.68"/>
    <x v="27"/>
    <s v="Clothing"/>
    <n v="4369.5"/>
    <n v="4381.8900000000003"/>
    <s v="Returning"/>
    <n v="0.02"/>
    <x v="2"/>
    <x v="1"/>
    <s v="South-Charlie"/>
  </r>
  <r>
    <n v="1072"/>
    <d v="2023-11-24T00:00:00"/>
    <s v="Alice"/>
    <x v="3"/>
    <n v="5511.11"/>
    <x v="44"/>
    <s v="Clothing"/>
    <n v="481.19"/>
    <n v="693.4"/>
    <s v="New"/>
    <n v="0.27"/>
    <x v="2"/>
    <x v="1"/>
    <s v="East-Alice"/>
  </r>
  <r>
    <n v="1012"/>
    <d v="2023-10-22T00:00:00"/>
    <s v="David"/>
    <x v="0"/>
    <n v="4384.88"/>
    <x v="24"/>
    <s v="Furniture"/>
    <n v="2462.5500000000002"/>
    <n v="2521.77"/>
    <s v="New"/>
    <n v="0.21"/>
    <x v="1"/>
    <x v="1"/>
    <s v="North-David"/>
  </r>
  <r>
    <n v="1034"/>
    <d v="2023-04-14T00:00:00"/>
    <s v="Alice"/>
    <x v="1"/>
    <n v="534.61"/>
    <x v="45"/>
    <s v="Clothing"/>
    <n v="3472.51"/>
    <n v="3732"/>
    <s v="New"/>
    <n v="0.06"/>
    <x v="0"/>
    <x v="0"/>
    <s v="West-Alice"/>
  </r>
  <r>
    <n v="1033"/>
    <d v="2023-01-14T00:00:00"/>
    <s v="Alice"/>
    <x v="1"/>
    <n v="1740.92"/>
    <x v="38"/>
    <s v="Clothing"/>
    <n v="1345.67"/>
    <n v="1367.76"/>
    <s v="New"/>
    <n v="0.06"/>
    <x v="1"/>
    <x v="0"/>
    <s v="West-Alice"/>
  </r>
  <r>
    <n v="1048"/>
    <d v="2023-10-15T00:00:00"/>
    <s v="Charlie"/>
    <x v="0"/>
    <n v="4510.8599999999997"/>
    <x v="31"/>
    <s v="Electronics"/>
    <n v="3139.99"/>
    <n v="3349.37"/>
    <s v="Returning"/>
    <n v="0.13"/>
    <x v="2"/>
    <x v="1"/>
    <s v="North-Charlie"/>
  </r>
  <r>
    <n v="1023"/>
    <d v="2023-06-28T00:00:00"/>
    <s v="Eve"/>
    <x v="3"/>
    <n v="2170.94"/>
    <x v="14"/>
    <s v="Clothing"/>
    <n v="4155.46"/>
    <n v="4273.6000000000004"/>
    <s v="Returning"/>
    <n v="0.25"/>
    <x v="0"/>
    <x v="1"/>
    <s v="East-Eve"/>
  </r>
  <r>
    <n v="1062"/>
    <d v="2023-05-05T00:00:00"/>
    <s v="Eve"/>
    <x v="2"/>
    <n v="594.79"/>
    <x v="42"/>
    <s v="Clothing"/>
    <n v="992.17"/>
    <n v="1263.49"/>
    <s v="Returning"/>
    <n v="0.25"/>
    <x v="1"/>
    <x v="1"/>
    <s v="South-Eve"/>
  </r>
  <r>
    <n v="1088"/>
    <d v="2023-12-19T00:00:00"/>
    <s v="Alice"/>
    <x v="3"/>
    <n v="8452.1299999999992"/>
    <x v="46"/>
    <s v="Clothing"/>
    <n v="4590.24"/>
    <n v="5088.28"/>
    <s v="New"/>
    <n v="0.16"/>
    <x v="1"/>
    <x v="1"/>
    <s v="East-Alice"/>
  </r>
  <r>
    <n v="1037"/>
    <d v="2023-01-23T00:00:00"/>
    <s v="Bob"/>
    <x v="0"/>
    <n v="9813.81"/>
    <x v="11"/>
    <s v="Clothing"/>
    <n v="2790.11"/>
    <n v="3192.37"/>
    <s v="Returning"/>
    <n v="0.26"/>
    <x v="1"/>
    <x v="0"/>
    <s v="North-Bob"/>
  </r>
  <r>
    <n v="1099"/>
    <d v="2023-03-04T00:00:00"/>
    <s v="David"/>
    <x v="3"/>
    <n v="7952.11"/>
    <x v="15"/>
    <s v="Furniture"/>
    <n v="1531.2"/>
    <n v="1955.56"/>
    <s v="New"/>
    <n v="0"/>
    <x v="2"/>
    <x v="0"/>
    <s v="East-David"/>
  </r>
  <r>
    <n v="1044"/>
    <d v="2023-05-23T00:00:00"/>
    <s v="Bob"/>
    <x v="1"/>
    <n v="8552.4699999999993"/>
    <x v="12"/>
    <s v="Food"/>
    <n v="2182.75"/>
    <n v="2504.0299999999902"/>
    <s v="New"/>
    <n v="0.01"/>
    <x v="1"/>
    <x v="0"/>
    <s v="West-Bob"/>
  </r>
  <r>
    <n v="1086"/>
    <d v="2023-06-02T00:00:00"/>
    <s v="Bob"/>
    <x v="3"/>
    <n v="2495.5700000000002"/>
    <x v="45"/>
    <s v="Electronics"/>
    <n v="1595.35"/>
    <n v="1625.70999999999"/>
    <s v="New"/>
    <n v="0.27"/>
    <x v="0"/>
    <x v="0"/>
    <s v="East-Bob"/>
  </r>
  <r>
    <n v="1091"/>
    <d v="2023-05-25T00:00:00"/>
    <s v="Alice"/>
    <x v="0"/>
    <n v="9610.2099999999991"/>
    <x v="38"/>
    <s v="Clothing"/>
    <n v="3639.3"/>
    <n v="3750.63"/>
    <s v="New"/>
    <n v="0.23"/>
    <x v="1"/>
    <x v="1"/>
    <s v="North-Alice"/>
  </r>
  <r>
    <n v="1035"/>
    <d v="2023-08-13T00:00:00"/>
    <s v="Alice"/>
    <x v="1"/>
    <n v="2049.56"/>
    <x v="47"/>
    <s v="Clothing"/>
    <n v="3991.69"/>
    <n v="4454.97"/>
    <s v="New"/>
    <n v="0.14000000000000001"/>
    <x v="2"/>
    <x v="1"/>
    <s v="West-Alice"/>
  </r>
  <r>
    <n v="1065"/>
    <d v="2023-11-05T00:00:00"/>
    <s v="Alice"/>
    <x v="3"/>
    <n v="9519.16"/>
    <x v="45"/>
    <s v="Furniture"/>
    <n v="4173.04"/>
    <n v="4362.4399999999996"/>
    <s v="New"/>
    <n v="0.23"/>
    <x v="1"/>
    <x v="1"/>
    <s v="East-Alice"/>
  </r>
  <r>
    <n v="1099"/>
    <d v="2023-04-14T00:00:00"/>
    <s v="Alice"/>
    <x v="3"/>
    <n v="9948.7099999999991"/>
    <x v="30"/>
    <s v="Food"/>
    <n v="4929.55"/>
    <n v="4990.33"/>
    <s v="Returning"/>
    <n v="0.28999999999999998"/>
    <x v="2"/>
    <x v="0"/>
    <s v="East-Alice"/>
  </r>
  <r>
    <n v="1047"/>
    <d v="2023-04-14T00:00:00"/>
    <s v="Eve"/>
    <x v="1"/>
    <n v="7146.06"/>
    <x v="25"/>
    <s v="Clothing"/>
    <n v="3966.86"/>
    <n v="4321.04"/>
    <s v="Returning"/>
    <n v="0.23"/>
    <x v="2"/>
    <x v="1"/>
    <s v="West-Eve"/>
  </r>
  <r>
    <n v="1078"/>
    <d v="2023-02-08T00:00:00"/>
    <s v="Alice"/>
    <x v="2"/>
    <n v="9813.32"/>
    <x v="37"/>
    <s v="Furniture"/>
    <n v="3026.85"/>
    <n v="3183.58"/>
    <s v="Returning"/>
    <n v="0.25"/>
    <x v="0"/>
    <x v="1"/>
    <s v="South-Alice"/>
  </r>
  <r>
    <n v="1003"/>
    <d v="2023-07-17T00:00:00"/>
    <s v="Eve"/>
    <x v="1"/>
    <n v="5738.44"/>
    <x v="13"/>
    <s v="Electronics"/>
    <n v="1729.14"/>
    <n v="1870.88"/>
    <s v="Returning"/>
    <n v="0.23"/>
    <x v="0"/>
    <x v="0"/>
    <s v="West-Eve"/>
  </r>
  <r>
    <n v="1001"/>
    <d v="2023-05-14T00:00:00"/>
    <s v="Eve"/>
    <x v="2"/>
    <n v="2669.46"/>
    <x v="22"/>
    <s v="Electronics"/>
    <n v="2745.75"/>
    <n v="3244.76"/>
    <s v="New"/>
    <n v="0.05"/>
    <x v="1"/>
    <x v="0"/>
    <s v="South-Eve"/>
  </r>
  <r>
    <n v="1005"/>
    <d v="2023-03-08T00:00:00"/>
    <s v="Alice"/>
    <x v="0"/>
    <n v="4426.26"/>
    <x v="26"/>
    <s v="Clothing"/>
    <n v="253.29"/>
    <n v="683.78"/>
    <s v="New"/>
    <n v="0.25"/>
    <x v="2"/>
    <x v="0"/>
    <s v="North-Alice"/>
  </r>
  <r>
    <n v="1090"/>
    <d v="2023-06-28T00:00:00"/>
    <s v="Charlie"/>
    <x v="0"/>
    <n v="5976.25"/>
    <x v="36"/>
    <s v="Clothing"/>
    <n v="3736.88"/>
    <n v="3946.77"/>
    <s v="Returning"/>
    <n v="0.06"/>
    <x v="2"/>
    <x v="0"/>
    <s v="North-Charlie"/>
  </r>
  <r>
    <n v="1014"/>
    <d v="2023-02-11T00:00:00"/>
    <s v="David"/>
    <x v="1"/>
    <n v="823.51"/>
    <x v="16"/>
    <s v="Food"/>
    <n v="2257.48"/>
    <n v="2747.81"/>
    <s v="Returning"/>
    <n v="0.27"/>
    <x v="0"/>
    <x v="0"/>
    <s v="West-David"/>
  </r>
  <r>
    <n v="1027"/>
    <d v="2023-01-15T00:00:00"/>
    <s v="Bob"/>
    <x v="1"/>
    <n v="6261.2"/>
    <x v="42"/>
    <s v="Food"/>
    <n v="149.11000000000001"/>
    <n v="477.67"/>
    <s v="Returning"/>
    <n v="0.14000000000000001"/>
    <x v="0"/>
    <x v="1"/>
    <s v="West-Bob"/>
  </r>
  <r>
    <n v="1009"/>
    <d v="2023-04-21T00:00:00"/>
    <s v="Eve"/>
    <x v="0"/>
    <n v="9813.66"/>
    <x v="20"/>
    <s v="Clothing"/>
    <n v="359.41"/>
    <n v="733"/>
    <s v="Returning"/>
    <n v="0.2"/>
    <x v="1"/>
    <x v="1"/>
    <s v="North-Eve"/>
  </r>
  <r>
    <n v="1079"/>
    <d v="2023-06-06T00:00:00"/>
    <s v="David"/>
    <x v="2"/>
    <n v="1982.07"/>
    <x v="24"/>
    <s v="Furniture"/>
    <n v="1967.96"/>
    <n v="1993.4"/>
    <s v="Returning"/>
    <n v="0.15"/>
    <x v="2"/>
    <x v="0"/>
    <s v="South-David"/>
  </r>
  <r>
    <n v="1015"/>
    <d v="2023-10-16T00:00:00"/>
    <s v="Charlie"/>
    <x v="0"/>
    <n v="7946.69"/>
    <x v="18"/>
    <s v="Food"/>
    <n v="2937.94"/>
    <n v="3007.53"/>
    <s v="Returning"/>
    <n v="0.03"/>
    <x v="0"/>
    <x v="1"/>
    <s v="North-Charlie"/>
  </r>
  <r>
    <n v="1090"/>
    <d v="2023-08-19T00:00:00"/>
    <s v="Bob"/>
    <x v="1"/>
    <n v="9088.2000000000007"/>
    <x v="17"/>
    <s v="Clothing"/>
    <n v="2347.81"/>
    <n v="2668.02"/>
    <s v="Returning"/>
    <n v="0.09"/>
    <x v="1"/>
    <x v="1"/>
    <s v="West-Bob"/>
  </r>
  <r>
    <n v="1042"/>
    <d v="2023-06-06T00:00:00"/>
    <s v="Bob"/>
    <x v="0"/>
    <n v="9442.65"/>
    <x v="46"/>
    <s v="Food"/>
    <n v="3115.06"/>
    <n v="3565.58"/>
    <s v="Returning"/>
    <n v="0.3"/>
    <x v="2"/>
    <x v="1"/>
    <s v="North-Bob"/>
  </r>
  <r>
    <n v="1077"/>
    <d v="2023-02-07T00:00:00"/>
    <s v="Eve"/>
    <x v="1"/>
    <n v="9605.34"/>
    <x v="26"/>
    <s v="Clothing"/>
    <n v="2427.46"/>
    <n v="2743.09"/>
    <s v="New"/>
    <n v="0.28999999999999998"/>
    <x v="2"/>
    <x v="1"/>
    <s v="West-Eve"/>
  </r>
  <r>
    <n v="1051"/>
    <d v="2023-04-07T00:00:00"/>
    <s v="Alice"/>
    <x v="1"/>
    <n v="5262.45"/>
    <x v="18"/>
    <s v="Electronics"/>
    <n v="3325.43"/>
    <n v="3401.1"/>
    <s v="New"/>
    <n v="0.1"/>
    <x v="0"/>
    <x v="0"/>
    <s v="West-Alice"/>
  </r>
  <r>
    <n v="1063"/>
    <d v="2023-10-16T00:00:00"/>
    <s v="Charlie"/>
    <x v="0"/>
    <n v="9775.35"/>
    <x v="41"/>
    <s v="Clothing"/>
    <n v="1134.67"/>
    <n v="1201.3900000000001"/>
    <s v="New"/>
    <n v="0.3"/>
    <x v="1"/>
    <x v="1"/>
    <s v="North-Charlie"/>
  </r>
  <r>
    <n v="1096"/>
    <d v="2023-09-11T00:00:00"/>
    <s v="Eve"/>
    <x v="2"/>
    <n v="7597.37"/>
    <x v="18"/>
    <s v="Electronics"/>
    <n v="608.57000000000005"/>
    <n v="1032.22"/>
    <s v="New"/>
    <n v="0.25"/>
    <x v="0"/>
    <x v="1"/>
    <s v="South-Eve"/>
  </r>
  <r>
    <n v="1052"/>
    <d v="2023-07-15T00:00:00"/>
    <s v="Charlie"/>
    <x v="3"/>
    <n v="1700.55"/>
    <x v="10"/>
    <s v="Food"/>
    <n v="3002.35"/>
    <n v="3080.61"/>
    <s v="Returning"/>
    <n v="0.18"/>
    <x v="1"/>
    <x v="1"/>
    <s v="East-Charlie"/>
  </r>
  <r>
    <n v="1096"/>
    <d v="2023-03-27T00:00:00"/>
    <s v="Alice"/>
    <x v="0"/>
    <n v="4821.3100000000004"/>
    <x v="10"/>
    <s v="Clothing"/>
    <n v="2449.21"/>
    <n v="2714.12"/>
    <s v="New"/>
    <n v="0.01"/>
    <x v="2"/>
    <x v="0"/>
    <s v="North-Alice"/>
  </r>
  <r>
    <n v="1004"/>
    <d v="2023-11-18T00:00:00"/>
    <s v="Alice"/>
    <x v="3"/>
    <n v="7211.48"/>
    <x v="21"/>
    <s v="Food"/>
    <n v="182.99"/>
    <n v="211.18"/>
    <s v="Returning"/>
    <n v="0.27"/>
    <x v="1"/>
    <x v="1"/>
    <s v="East-Alice"/>
  </r>
  <r>
    <n v="1094"/>
    <d v="2023-01-10T00:00:00"/>
    <s v="Eve"/>
    <x v="0"/>
    <n v="2548.67"/>
    <x v="44"/>
    <s v="Electronics"/>
    <n v="1933.39"/>
    <n v="1982.92"/>
    <s v="New"/>
    <n v="0.17"/>
    <x v="1"/>
    <x v="0"/>
    <s v="North-Eve"/>
  </r>
  <r>
    <n v="1023"/>
    <d v="2023-01-05T00:00:00"/>
    <s v="Alice"/>
    <x v="3"/>
    <n v="6442.09"/>
    <x v="39"/>
    <s v="Clothing"/>
    <n v="575.32000000000005"/>
    <n v="914.77"/>
    <s v="Returning"/>
    <n v="0.26"/>
    <x v="1"/>
    <x v="0"/>
    <s v="East-Alice"/>
  </r>
  <r>
    <n v="1015"/>
    <d v="2023-05-03T00:00:00"/>
    <s v="David"/>
    <x v="2"/>
    <n v="6699.34"/>
    <x v="2"/>
    <s v="Food"/>
    <n v="2680.22"/>
    <n v="3027.9199999999901"/>
    <s v="Returning"/>
    <n v="0.25"/>
    <x v="1"/>
    <x v="0"/>
    <s v="South-David"/>
  </r>
  <r>
    <n v="1043"/>
    <d v="2023-11-26T00:00:00"/>
    <s v="Bob"/>
    <x v="2"/>
    <n v="1710.73"/>
    <x v="45"/>
    <s v="Electronics"/>
    <n v="2009.1"/>
    <n v="2186.42"/>
    <s v="New"/>
    <n v="0.25"/>
    <x v="1"/>
    <x v="0"/>
    <s v="South-Bob"/>
  </r>
  <r>
    <n v="1029"/>
    <d v="2023-12-19T00:00:00"/>
    <s v="Eve"/>
    <x v="0"/>
    <n v="5694.34"/>
    <x v="9"/>
    <s v="Food"/>
    <n v="3085.1"/>
    <n v="3200.75"/>
    <s v="New"/>
    <n v="0.21"/>
    <x v="0"/>
    <x v="1"/>
    <s v="North-Eve"/>
  </r>
  <r>
    <n v="1036"/>
    <d v="2023-04-28T00:00:00"/>
    <s v="Charlie"/>
    <x v="1"/>
    <n v="7739.11"/>
    <x v="44"/>
    <s v="Furniture"/>
    <n v="4037.73"/>
    <n v="4446.45"/>
    <s v="Returning"/>
    <n v="0.09"/>
    <x v="1"/>
    <x v="0"/>
    <s v="West-Charlie"/>
  </r>
  <r>
    <n v="1013"/>
    <d v="2023-10-21T00:00:00"/>
    <s v="David"/>
    <x v="3"/>
    <n v="5039.07"/>
    <x v="46"/>
    <s v="Electronics"/>
    <n v="1533.36"/>
    <n v="1649.73999999999"/>
    <s v="Returning"/>
    <n v="0.1"/>
    <x v="1"/>
    <x v="0"/>
    <s v="East-David"/>
  </r>
  <r>
    <n v="1032"/>
    <d v="2023-06-08T00:00:00"/>
    <s v="Eve"/>
    <x v="1"/>
    <n v="219.82"/>
    <x v="37"/>
    <s v="Electronics"/>
    <n v="4812.41"/>
    <n v="5088"/>
    <s v="Returning"/>
    <n v="0.09"/>
    <x v="2"/>
    <x v="0"/>
    <s v="West-Eve"/>
  </r>
  <r>
    <n v="1071"/>
    <d v="2023-10-30T00:00:00"/>
    <s v="Alice"/>
    <x v="1"/>
    <n v="189.48"/>
    <x v="33"/>
    <s v="Electronics"/>
    <n v="2701.39"/>
    <n v="3185.81"/>
    <s v="New"/>
    <n v="0.01"/>
    <x v="1"/>
    <x v="0"/>
    <s v="West-Alice"/>
  </r>
  <r>
    <n v="1059"/>
    <d v="2023-08-16T00:00:00"/>
    <s v="Alice"/>
    <x v="1"/>
    <n v="3634.59"/>
    <x v="9"/>
    <s v="Clothing"/>
    <n v="3110.54"/>
    <n v="3192.99"/>
    <s v="New"/>
    <n v="0.17"/>
    <x v="2"/>
    <x v="0"/>
    <s v="West-Alice"/>
  </r>
  <r>
    <n v="1086"/>
    <d v="2023-12-31T00:00:00"/>
    <s v="Alice"/>
    <x v="2"/>
    <n v="9269.32"/>
    <x v="19"/>
    <s v="Clothing"/>
    <n v="3419.33"/>
    <n v="3890.3599999999901"/>
    <s v="Returning"/>
    <n v="0.21"/>
    <x v="0"/>
    <x v="1"/>
    <s v="South-Alice"/>
  </r>
  <r>
    <n v="1028"/>
    <d v="2023-08-04T00:00:00"/>
    <s v="Alice"/>
    <x v="0"/>
    <n v="2363.9"/>
    <x v="34"/>
    <s v="Clothing"/>
    <n v="3350.32"/>
    <n v="3449.94"/>
    <s v="New"/>
    <n v="0.26"/>
    <x v="0"/>
    <x v="0"/>
    <s v="North-Alice"/>
  </r>
  <r>
    <n v="1066"/>
    <d v="2023-07-03T00:00:00"/>
    <s v="Charlie"/>
    <x v="0"/>
    <n v="6380.2"/>
    <x v="13"/>
    <s v="Furniture"/>
    <n v="2579.31"/>
    <n v="2867.36"/>
    <s v="Returning"/>
    <n v="0.04"/>
    <x v="1"/>
    <x v="1"/>
    <s v="North-Charlie"/>
  </r>
  <r>
    <n v="1042"/>
    <d v="2023-01-15T00:00:00"/>
    <s v="David"/>
    <x v="2"/>
    <n v="2298.5500000000002"/>
    <x v="7"/>
    <s v="Furniture"/>
    <n v="2172.38"/>
    <n v="2367.11"/>
    <s v="New"/>
    <n v="0.16"/>
    <x v="0"/>
    <x v="1"/>
    <s v="South-David"/>
  </r>
  <r>
    <n v="1045"/>
    <d v="2023-06-06T00:00:00"/>
    <s v="Bob"/>
    <x v="2"/>
    <n v="3284.53"/>
    <x v="13"/>
    <s v="Electronics"/>
    <n v="316.22000000000003"/>
    <n v="799.04"/>
    <s v="New"/>
    <n v="0"/>
    <x v="1"/>
    <x v="0"/>
    <s v="South-Bob"/>
  </r>
  <r>
    <n v="1062"/>
    <d v="2023-05-16T00:00:00"/>
    <s v="Charlie"/>
    <x v="0"/>
    <n v="8495.6200000000008"/>
    <x v="7"/>
    <s v="Furniture"/>
    <n v="159.32"/>
    <n v="303.36"/>
    <s v="New"/>
    <n v="0.03"/>
    <x v="0"/>
    <x v="1"/>
    <s v="North-Charlie"/>
  </r>
  <r>
    <n v="1057"/>
    <d v="2023-09-18T00:00:00"/>
    <s v="Charlie"/>
    <x v="1"/>
    <n v="7315.73"/>
    <x v="44"/>
    <s v="Food"/>
    <n v="1821.91"/>
    <n v="2027.74"/>
    <s v="New"/>
    <n v="0.02"/>
    <x v="1"/>
    <x v="1"/>
    <s v="West-Charlie"/>
  </r>
  <r>
    <n v="1006"/>
    <d v="2023-06-06T00:00:00"/>
    <s v="Bob"/>
    <x v="3"/>
    <n v="1044.45"/>
    <x v="9"/>
    <s v="Electronics"/>
    <n v="1701.62"/>
    <n v="2193.2199999999998"/>
    <s v="New"/>
    <n v="0.22"/>
    <x v="1"/>
    <x v="1"/>
    <s v="East-Bob"/>
  </r>
  <r>
    <n v="1028"/>
    <d v="2023-02-16T00:00:00"/>
    <s v="Bob"/>
    <x v="3"/>
    <n v="4344.1499999999996"/>
    <x v="38"/>
    <s v="Electronics"/>
    <n v="1969.09"/>
    <n v="2241.96"/>
    <s v="Returning"/>
    <n v="0.02"/>
    <x v="2"/>
    <x v="0"/>
    <s v="East-Bob"/>
  </r>
  <r>
    <n v="1028"/>
    <d v="2023-11-20T00:00:00"/>
    <s v="Alice"/>
    <x v="3"/>
    <n v="388.78"/>
    <x v="47"/>
    <s v="Food"/>
    <n v="734.92"/>
    <n v="991.21"/>
    <s v="Returning"/>
    <n v="0.21"/>
    <x v="2"/>
    <x v="0"/>
    <s v="East-Alice"/>
  </r>
  <r>
    <n v="1044"/>
    <d v="2023-11-28T00:00:00"/>
    <s v="Charlie"/>
    <x v="1"/>
    <n v="4860.8100000000004"/>
    <x v="32"/>
    <s v="Electronics"/>
    <n v="3703.93"/>
    <n v="3840.24"/>
    <s v="New"/>
    <n v="7.0000000000000007E-2"/>
    <x v="2"/>
    <x v="0"/>
    <s v="West-Charlie"/>
  </r>
  <r>
    <n v="1084"/>
    <d v="2023-06-22T00:00:00"/>
    <s v="Eve"/>
    <x v="0"/>
    <n v="6658.1"/>
    <x v="37"/>
    <s v="Furniture"/>
    <n v="4291.97"/>
    <n v="4645.6400000000003"/>
    <s v="Returning"/>
    <n v="0.26"/>
    <x v="2"/>
    <x v="0"/>
    <s v="North-Eve"/>
  </r>
  <r>
    <n v="1030"/>
    <d v="2023-05-10T00:00:00"/>
    <s v="Bob"/>
    <x v="2"/>
    <n v="1273.18"/>
    <x v="8"/>
    <s v="Clothing"/>
    <n v="4696.6400000000003"/>
    <n v="4713.68"/>
    <s v="Returning"/>
    <n v="0.24"/>
    <x v="1"/>
    <x v="0"/>
    <s v="South-Bob"/>
  </r>
  <r>
    <n v="1062"/>
    <d v="2023-04-05T00:00:00"/>
    <s v="Bob"/>
    <x v="0"/>
    <n v="2959.96"/>
    <x v="10"/>
    <s v="Food"/>
    <n v="2487.19"/>
    <n v="2521.4499999999998"/>
    <s v="New"/>
    <n v="0.28999999999999998"/>
    <x v="0"/>
    <x v="0"/>
    <s v="North-Bob"/>
  </r>
  <r>
    <n v="1075"/>
    <d v="2023-04-25T00:00:00"/>
    <s v="David"/>
    <x v="1"/>
    <n v="4038.58"/>
    <x v="16"/>
    <s v="Furniture"/>
    <n v="3519.29"/>
    <n v="3822.98"/>
    <s v="Returning"/>
    <n v="0.27"/>
    <x v="1"/>
    <x v="0"/>
    <s v="West-David"/>
  </r>
  <r>
    <n v="1092"/>
    <d v="2023-08-31T00:00:00"/>
    <s v="Eve"/>
    <x v="2"/>
    <n v="9203.36"/>
    <x v="20"/>
    <s v="Food"/>
    <n v="4284.9799999999996"/>
    <n v="4462.3999999999996"/>
    <s v="New"/>
    <n v="0.28000000000000003"/>
    <x v="2"/>
    <x v="1"/>
    <s v="South-Eve"/>
  </r>
  <r>
    <n v="1089"/>
    <d v="2023-10-19T00:00:00"/>
    <s v="Eve"/>
    <x v="1"/>
    <n v="9933.2199999999993"/>
    <x v="18"/>
    <s v="Food"/>
    <n v="2120.54"/>
    <n v="2597.67"/>
    <s v="Returning"/>
    <n v="0.26"/>
    <x v="2"/>
    <x v="1"/>
    <s v="West-Eve"/>
  </r>
  <r>
    <n v="1062"/>
    <d v="2023-10-09T00:00:00"/>
    <s v="Bob"/>
    <x v="3"/>
    <n v="544.62"/>
    <x v="41"/>
    <s v="Electronics"/>
    <n v="1581.59"/>
    <n v="2034.1499999999901"/>
    <s v="Returning"/>
    <n v="0.21"/>
    <x v="0"/>
    <x v="0"/>
    <s v="East-Bob"/>
  </r>
  <r>
    <n v="1097"/>
    <d v="2023-10-26T00:00:00"/>
    <s v="Alice"/>
    <x v="3"/>
    <n v="7633.98"/>
    <x v="30"/>
    <s v="Electronics"/>
    <n v="4686.79"/>
    <n v="5046.51"/>
    <s v="Returning"/>
    <n v="0.05"/>
    <x v="2"/>
    <x v="1"/>
    <s v="East-Alice"/>
  </r>
  <r>
    <n v="1001"/>
    <d v="2023-10-10T00:00:00"/>
    <s v="David"/>
    <x v="1"/>
    <n v="3780.07"/>
    <x v="0"/>
    <s v="Furniture"/>
    <n v="2602.6"/>
    <n v="3013.49"/>
    <s v="Returning"/>
    <n v="0.08"/>
    <x v="1"/>
    <x v="0"/>
    <s v="West-David"/>
  </r>
  <r>
    <n v="1027"/>
    <d v="2023-03-10T00:00:00"/>
    <s v="Eve"/>
    <x v="2"/>
    <n v="3985.34"/>
    <x v="9"/>
    <s v="Food"/>
    <n v="2511.41"/>
    <n v="2848.3999999999901"/>
    <s v="Returning"/>
    <n v="0.06"/>
    <x v="1"/>
    <x v="0"/>
    <s v="South-Eve"/>
  </r>
  <r>
    <n v="1062"/>
    <d v="2023-05-28T00:00:00"/>
    <s v="Bob"/>
    <x v="2"/>
    <n v="7567.22"/>
    <x v="40"/>
    <s v="Electronics"/>
    <n v="933.16"/>
    <n v="1004.69999999999"/>
    <s v="Returning"/>
    <n v="0.18"/>
    <x v="1"/>
    <x v="0"/>
    <s v="South-Bob"/>
  </r>
  <r>
    <n v="1077"/>
    <d v="2023-01-11T00:00:00"/>
    <s v="Eve"/>
    <x v="0"/>
    <n v="9192.42"/>
    <x v="22"/>
    <s v="Electronics"/>
    <n v="585.37"/>
    <n v="970.49"/>
    <s v="Returning"/>
    <n v="0.15"/>
    <x v="1"/>
    <x v="1"/>
    <s v="North-Eve"/>
  </r>
  <r>
    <n v="1003"/>
    <d v="2023-09-11T00:00:00"/>
    <s v="David"/>
    <x v="3"/>
    <n v="9514.19"/>
    <x v="33"/>
    <s v="Food"/>
    <n v="4218.43"/>
    <n v="4331.42"/>
    <s v="New"/>
    <n v="0.26"/>
    <x v="1"/>
    <x v="0"/>
    <s v="East-David"/>
  </r>
  <r>
    <n v="1070"/>
    <d v="2023-11-26T00:00:00"/>
    <s v="David"/>
    <x v="0"/>
    <n v="5813.51"/>
    <x v="11"/>
    <s v="Furniture"/>
    <n v="3089.96"/>
    <n v="3258.45"/>
    <s v="New"/>
    <n v="0.28999999999999998"/>
    <x v="0"/>
    <x v="0"/>
    <s v="North-David"/>
  </r>
  <r>
    <n v="1072"/>
    <d v="2023-12-26T00:00:00"/>
    <s v="Charlie"/>
    <x v="0"/>
    <n v="3635.5"/>
    <x v="18"/>
    <s v="Furniture"/>
    <n v="1662.83"/>
    <n v="2074.25"/>
    <s v="New"/>
    <n v="0.12"/>
    <x v="1"/>
    <x v="0"/>
    <s v="North-Charlie"/>
  </r>
  <r>
    <n v="1027"/>
    <d v="2023-02-07T00:00:00"/>
    <s v="Bob"/>
    <x v="1"/>
    <n v="7896.74"/>
    <x v="45"/>
    <s v="Food"/>
    <n v="999.09"/>
    <n v="1271.99"/>
    <s v="New"/>
    <n v="0.15"/>
    <x v="2"/>
    <x v="0"/>
    <s v="West-Bob"/>
  </r>
  <r>
    <n v="1009"/>
    <d v="2023-05-14T00:00:00"/>
    <s v="David"/>
    <x v="1"/>
    <n v="2584.91"/>
    <x v="11"/>
    <s v="Furniture"/>
    <n v="2799.71"/>
    <n v="3231.08"/>
    <s v="Returning"/>
    <n v="0.28999999999999998"/>
    <x v="2"/>
    <x v="1"/>
    <s v="West-David"/>
  </r>
  <r>
    <n v="1062"/>
    <d v="2023-07-19T00:00:00"/>
    <s v="Charlie"/>
    <x v="0"/>
    <n v="5684.33"/>
    <x v="15"/>
    <s v="Electronics"/>
    <n v="2940.4"/>
    <n v="3054.79"/>
    <s v="Returning"/>
    <n v="0.08"/>
    <x v="2"/>
    <x v="0"/>
    <s v="North-Charlie"/>
  </r>
  <r>
    <n v="1037"/>
    <d v="2023-01-23T00:00:00"/>
    <s v="Charlie"/>
    <x v="3"/>
    <n v="3649.93"/>
    <x v="44"/>
    <s v="Food"/>
    <n v="1074.6199999999999"/>
    <n v="1382.4299999999901"/>
    <s v="Returning"/>
    <n v="0.24"/>
    <x v="2"/>
    <x v="1"/>
    <s v="East-Charlie"/>
  </r>
  <r>
    <n v="1097"/>
    <d v="2023-10-30T00:00:00"/>
    <s v="Eve"/>
    <x v="1"/>
    <n v="6600.65"/>
    <x v="37"/>
    <s v="Electronics"/>
    <n v="4264.46"/>
    <n v="4315.5200000000004"/>
    <s v="New"/>
    <n v="7.0000000000000007E-2"/>
    <x v="0"/>
    <x v="1"/>
    <s v="West-Eve"/>
  </r>
  <r>
    <n v="1051"/>
    <d v="2023-12-12T00:00:00"/>
    <s v="Eve"/>
    <x v="0"/>
    <n v="2479.9499999999998"/>
    <x v="29"/>
    <s v="Clothing"/>
    <n v="467.11"/>
    <n v="792.21"/>
    <s v="New"/>
    <n v="0.2"/>
    <x v="2"/>
    <x v="0"/>
    <s v="North-Eve"/>
  </r>
  <r>
    <n v="1044"/>
    <d v="2023-10-29T00:00:00"/>
    <s v="Charlie"/>
    <x v="0"/>
    <n v="1996.77"/>
    <x v="23"/>
    <s v="Clothing"/>
    <n v="1812.66"/>
    <n v="2196.3000000000002"/>
    <s v="New"/>
    <n v="0.08"/>
    <x v="0"/>
    <x v="0"/>
    <s v="North-Charlie"/>
  </r>
  <r>
    <n v="1024"/>
    <d v="2023-12-29T00:00:00"/>
    <s v="Eve"/>
    <x v="0"/>
    <n v="9190.57"/>
    <x v="47"/>
    <s v="Furniture"/>
    <n v="3417.9"/>
    <n v="3714.52"/>
    <s v="Returning"/>
    <n v="0.27"/>
    <x v="2"/>
    <x v="1"/>
    <s v="North-Eve"/>
  </r>
  <r>
    <n v="1079"/>
    <d v="2023-08-06T00:00:00"/>
    <s v="David"/>
    <x v="0"/>
    <n v="1107.8599999999999"/>
    <x v="27"/>
    <s v="Clothing"/>
    <n v="1406.9"/>
    <n v="1547.35"/>
    <s v="New"/>
    <n v="0.17"/>
    <x v="0"/>
    <x v="1"/>
    <s v="North-David"/>
  </r>
  <r>
    <n v="1059"/>
    <d v="2023-05-21T00:00:00"/>
    <s v="Alice"/>
    <x v="0"/>
    <n v="5108.9799999999996"/>
    <x v="35"/>
    <s v="Electronics"/>
    <n v="4146.99"/>
    <n v="4172.3499999999904"/>
    <s v="Returning"/>
    <n v="0.06"/>
    <x v="0"/>
    <x v="1"/>
    <s v="North-Alice"/>
  </r>
  <r>
    <n v="1032"/>
    <d v="2023-04-14T00:00:00"/>
    <s v="David"/>
    <x v="0"/>
    <n v="2286.44"/>
    <x v="27"/>
    <s v="Clothing"/>
    <n v="3712.35"/>
    <n v="3780.88"/>
    <s v="New"/>
    <n v="7.0000000000000007E-2"/>
    <x v="0"/>
    <x v="1"/>
    <s v="North-David"/>
  </r>
  <r>
    <n v="1096"/>
    <d v="2023-07-29T00:00:00"/>
    <s v="Charlie"/>
    <x v="1"/>
    <n v="485.41"/>
    <x v="34"/>
    <s v="Electronics"/>
    <n v="3955.66"/>
    <n v="4270.59"/>
    <s v="Returning"/>
    <n v="0.15"/>
    <x v="2"/>
    <x v="0"/>
    <s v="West-Charlie"/>
  </r>
  <r>
    <n v="1088"/>
    <d v="2023-04-21T00:00:00"/>
    <s v="Charlie"/>
    <x v="3"/>
    <n v="456.59"/>
    <x v="6"/>
    <s v="Furniture"/>
    <n v="639.58000000000004"/>
    <n v="1107.45"/>
    <s v="New"/>
    <n v="0.28999999999999998"/>
    <x v="0"/>
    <x v="1"/>
    <s v="East-Charlie"/>
  </r>
  <r>
    <n v="1052"/>
    <d v="2023-04-14T00:00:00"/>
    <s v="David"/>
    <x v="0"/>
    <n v="1834.7"/>
    <x v="47"/>
    <s v="Furniture"/>
    <n v="745.71"/>
    <n v="856.91"/>
    <s v="Returning"/>
    <n v="0.23"/>
    <x v="1"/>
    <x v="1"/>
    <s v="North-David"/>
  </r>
  <r>
    <n v="1062"/>
    <d v="2023-11-12T00:00:00"/>
    <s v="Eve"/>
    <x v="2"/>
    <n v="8681.0300000000007"/>
    <x v="14"/>
    <s v="Electronics"/>
    <n v="1468.05"/>
    <n v="1838.21"/>
    <s v="New"/>
    <n v="0.15"/>
    <x v="1"/>
    <x v="1"/>
    <s v="South-Eve"/>
  </r>
  <r>
    <n v="1058"/>
    <d v="2023-06-20T00:00:00"/>
    <s v="Eve"/>
    <x v="1"/>
    <n v="2896.54"/>
    <x v="10"/>
    <s v="Clothing"/>
    <n v="2614.48"/>
    <n v="3049.04"/>
    <s v="New"/>
    <n v="0.1"/>
    <x v="2"/>
    <x v="1"/>
    <s v="West-Eve"/>
  </r>
  <r>
    <n v="1052"/>
    <d v="2023-12-22T00:00:00"/>
    <s v="Charlie"/>
    <x v="1"/>
    <n v="9509.5499999999993"/>
    <x v="39"/>
    <s v="Furniture"/>
    <n v="3752.68"/>
    <n v="4017.91"/>
    <s v="Returning"/>
    <n v="0.16"/>
    <x v="1"/>
    <x v="0"/>
    <s v="West-Charlie"/>
  </r>
  <r>
    <n v="1012"/>
    <d v="2023-11-20T00:00:00"/>
    <s v="Bob"/>
    <x v="0"/>
    <n v="5858.06"/>
    <x v="21"/>
    <s v="Food"/>
    <n v="4190.83"/>
    <n v="4528.7699999999904"/>
    <s v="Returning"/>
    <n v="0.22"/>
    <x v="1"/>
    <x v="0"/>
    <s v="North-Bob"/>
  </r>
  <r>
    <n v="1039"/>
    <d v="2023-05-13T00:00:00"/>
    <s v="Eve"/>
    <x v="1"/>
    <n v="4422.4799999999996"/>
    <x v="11"/>
    <s v="Furniture"/>
    <n v="3536.46"/>
    <n v="3945.82"/>
    <s v="New"/>
    <n v="0.24"/>
    <x v="1"/>
    <x v="0"/>
    <s v="West-Eve"/>
  </r>
  <r>
    <n v="1002"/>
    <d v="2023-10-20T00:00:00"/>
    <s v="David"/>
    <x v="0"/>
    <n v="5842.88"/>
    <x v="2"/>
    <s v="Clothing"/>
    <n v="4646.55"/>
    <n v="4784.28"/>
    <s v="Returning"/>
    <n v="0.1"/>
    <x v="2"/>
    <x v="1"/>
    <s v="North-David"/>
  </r>
  <r>
    <n v="1003"/>
    <d v="2023-11-24T00:00:00"/>
    <s v="Eve"/>
    <x v="3"/>
    <n v="5215.3100000000004"/>
    <x v="23"/>
    <s v="Food"/>
    <n v="3706.78"/>
    <n v="3862.26"/>
    <s v="New"/>
    <n v="0.22"/>
    <x v="2"/>
    <x v="1"/>
    <s v="East-Eve"/>
  </r>
  <r>
    <n v="1056"/>
    <d v="2023-05-07T00:00:00"/>
    <s v="David"/>
    <x v="3"/>
    <n v="7611.88"/>
    <x v="40"/>
    <s v="Clothing"/>
    <n v="1566.03"/>
    <n v="1576.34"/>
    <s v="Returning"/>
    <n v="0.2"/>
    <x v="1"/>
    <x v="0"/>
    <s v="East-David"/>
  </r>
  <r>
    <n v="1081"/>
    <d v="2023-04-16T00:00:00"/>
    <s v="Charlie"/>
    <x v="1"/>
    <n v="2896.71"/>
    <x v="16"/>
    <s v="Electronics"/>
    <n v="1362.15"/>
    <n v="1844.07"/>
    <s v="New"/>
    <n v="0.28999999999999998"/>
    <x v="2"/>
    <x v="0"/>
    <s v="West-Charlie"/>
  </r>
  <r>
    <n v="1059"/>
    <d v="2023-04-02T00:00:00"/>
    <s v="Eve"/>
    <x v="1"/>
    <n v="3595.2"/>
    <x v="26"/>
    <s v="Food"/>
    <n v="3496.15"/>
    <n v="3955.75"/>
    <s v="Returning"/>
    <n v="0.28000000000000003"/>
    <x v="0"/>
    <x v="1"/>
    <s v="West-Eve"/>
  </r>
  <r>
    <n v="1002"/>
    <d v="2023-10-14T00:00:00"/>
    <s v="David"/>
    <x v="2"/>
    <n v="8951.5300000000007"/>
    <x v="3"/>
    <s v="Clothing"/>
    <n v="1004.71"/>
    <n v="1389.35"/>
    <s v="New"/>
    <n v="0.24"/>
    <x v="1"/>
    <x v="0"/>
    <s v="South-David"/>
  </r>
  <r>
    <n v="1002"/>
    <d v="2023-02-20T00:00:00"/>
    <s v="Charlie"/>
    <x v="1"/>
    <n v="9469.92"/>
    <x v="42"/>
    <s v="Food"/>
    <n v="508.94"/>
    <n v="557.69000000000005"/>
    <s v="New"/>
    <n v="0.22"/>
    <x v="2"/>
    <x v="1"/>
    <s v="West-Charlie"/>
  </r>
  <r>
    <n v="1092"/>
    <d v="2023-01-29T00:00:00"/>
    <s v="Bob"/>
    <x v="2"/>
    <n v="8936.33"/>
    <x v="4"/>
    <s v="Clothing"/>
    <n v="2684.5"/>
    <n v="2913.78"/>
    <s v="New"/>
    <n v="0.08"/>
    <x v="2"/>
    <x v="1"/>
    <s v="South-Bob"/>
  </r>
  <r>
    <n v="1054"/>
    <d v="2023-10-23T00:00:00"/>
    <s v="David"/>
    <x v="3"/>
    <n v="4252.54"/>
    <x v="29"/>
    <s v="Food"/>
    <n v="4117.13"/>
    <n v="4177.0600000000004"/>
    <s v="Returning"/>
    <n v="0.25"/>
    <x v="1"/>
    <x v="1"/>
    <s v="East-David"/>
  </r>
  <r>
    <n v="1087"/>
    <d v="2023-10-24T00:00:00"/>
    <s v="Bob"/>
    <x v="3"/>
    <n v="7825.62"/>
    <x v="40"/>
    <s v="Clothing"/>
    <n v="551.83000000000004"/>
    <n v="569.63"/>
    <s v="New"/>
    <n v="0.13"/>
    <x v="2"/>
    <x v="1"/>
    <s v="East-Bob"/>
  </r>
  <r>
    <n v="1096"/>
    <d v="2023-08-02T00:00:00"/>
    <s v="Bob"/>
    <x v="0"/>
    <n v="4815.72"/>
    <x v="2"/>
    <s v="Electronics"/>
    <n v="3969.86"/>
    <n v="4281.79"/>
    <s v="Returning"/>
    <n v="0.08"/>
    <x v="1"/>
    <x v="1"/>
    <s v="North-Bob"/>
  </r>
  <r>
    <n v="1097"/>
    <d v="2023-09-24T00:00:00"/>
    <s v="Alice"/>
    <x v="3"/>
    <n v="5025.6400000000003"/>
    <x v="14"/>
    <s v="Food"/>
    <n v="4067.28"/>
    <n v="4548.09"/>
    <s v="Returning"/>
    <n v="0.12"/>
    <x v="2"/>
    <x v="1"/>
    <s v="East-Alice"/>
  </r>
  <r>
    <n v="1001"/>
    <d v="2023-09-14T00:00:00"/>
    <s v="Eve"/>
    <x v="2"/>
    <n v="2126.33"/>
    <x v="3"/>
    <s v="Food"/>
    <n v="2437.2600000000002"/>
    <n v="2889.67"/>
    <s v="Returning"/>
    <n v="0.25"/>
    <x v="0"/>
    <x v="0"/>
    <s v="South-Eve"/>
  </r>
  <r>
    <n v="1019"/>
    <d v="2023-10-29T00:00:00"/>
    <s v="David"/>
    <x v="1"/>
    <n v="5952.19"/>
    <x v="17"/>
    <s v="Food"/>
    <n v="333.69"/>
    <n v="685.1"/>
    <s v="New"/>
    <n v="0.04"/>
    <x v="1"/>
    <x v="0"/>
    <s v="West-David"/>
  </r>
  <r>
    <n v="1002"/>
    <d v="2023-04-11T00:00:00"/>
    <s v="Bob"/>
    <x v="0"/>
    <n v="1942.75"/>
    <x v="9"/>
    <s v="Food"/>
    <n v="914.22"/>
    <n v="971.57"/>
    <s v="Returning"/>
    <n v="0.14000000000000001"/>
    <x v="0"/>
    <x v="0"/>
    <s v="North-Bob"/>
  </r>
  <r>
    <n v="1053"/>
    <d v="2023-12-12T00:00:00"/>
    <s v="Alice"/>
    <x v="2"/>
    <n v="3382.49"/>
    <x v="20"/>
    <s v="Electronics"/>
    <n v="3551.76"/>
    <n v="3696.1"/>
    <s v="Returning"/>
    <n v="0.15"/>
    <x v="1"/>
    <x v="1"/>
    <s v="South-Alice"/>
  </r>
  <r>
    <n v="1044"/>
    <d v="2023-04-20T00:00:00"/>
    <s v="Charlie"/>
    <x v="1"/>
    <n v="8564.7999999999993"/>
    <x v="24"/>
    <s v="Food"/>
    <n v="3573.3"/>
    <n v="3740.13"/>
    <s v="Returning"/>
    <n v="0.01"/>
    <x v="2"/>
    <x v="0"/>
    <s v="West-Charlie"/>
  </r>
  <r>
    <n v="1090"/>
    <d v="2023-07-01T00:00:00"/>
    <s v="David"/>
    <x v="0"/>
    <n v="2150.0500000000002"/>
    <x v="17"/>
    <s v="Furniture"/>
    <n v="4496.8599999999997"/>
    <n v="4880.7999999999902"/>
    <s v="New"/>
    <n v="0.06"/>
    <x v="0"/>
    <x v="1"/>
    <s v="North-David"/>
  </r>
  <r>
    <n v="1032"/>
    <d v="2023-11-09T00:00:00"/>
    <s v="Bob"/>
    <x v="3"/>
    <n v="804.47"/>
    <x v="44"/>
    <s v="Electronics"/>
    <n v="2934.3"/>
    <n v="3337.4"/>
    <s v="Returning"/>
    <n v="0.25"/>
    <x v="2"/>
    <x v="1"/>
    <s v="East-Bob"/>
  </r>
  <r>
    <n v="1070"/>
    <d v="2023-01-01T00:00:00"/>
    <s v="Eve"/>
    <x v="2"/>
    <n v="783.18"/>
    <x v="26"/>
    <s v="Furniture"/>
    <n v="664.33"/>
    <n v="863.03"/>
    <s v="Returning"/>
    <n v="0.25"/>
    <x v="1"/>
    <x v="1"/>
    <s v="South-Eve"/>
  </r>
  <r>
    <n v="1032"/>
    <d v="2023-11-15T00:00:00"/>
    <s v="Alice"/>
    <x v="1"/>
    <n v="9413.77"/>
    <x v="21"/>
    <s v="Food"/>
    <n v="651"/>
    <n v="865.76"/>
    <s v="Returning"/>
    <n v="0.09"/>
    <x v="1"/>
    <x v="1"/>
    <s v="West-Alice"/>
  </r>
  <r>
    <n v="1068"/>
    <d v="2023-02-24T00:00:00"/>
    <s v="Bob"/>
    <x v="0"/>
    <n v="5118.51"/>
    <x v="33"/>
    <s v="Clothing"/>
    <n v="3619.61"/>
    <n v="3651.42"/>
    <s v="Returning"/>
    <n v="0.26"/>
    <x v="1"/>
    <x v="0"/>
    <s v="North-Bob"/>
  </r>
  <r>
    <n v="1055"/>
    <d v="2023-05-29T00:00:00"/>
    <s v="Eve"/>
    <x v="0"/>
    <n v="4153.18"/>
    <x v="11"/>
    <s v="Furniture"/>
    <n v="959.73"/>
    <n v="1111.4100000000001"/>
    <s v="New"/>
    <n v="0.23"/>
    <x v="1"/>
    <x v="0"/>
    <s v="North-Eve"/>
  </r>
  <r>
    <n v="1075"/>
    <d v="2023-11-05T00:00:00"/>
    <s v="Bob"/>
    <x v="3"/>
    <n v="8127.7"/>
    <x v="35"/>
    <s v="Food"/>
    <n v="1675.51"/>
    <n v="1906.6399999999901"/>
    <s v="New"/>
    <n v="0.13"/>
    <x v="1"/>
    <x v="0"/>
    <s v="East-Bob"/>
  </r>
  <r>
    <n v="1056"/>
    <d v="2023-05-17T00:00:00"/>
    <s v="David"/>
    <x v="1"/>
    <n v="8374.68"/>
    <x v="20"/>
    <s v="Furniture"/>
    <n v="2461.6999999999998"/>
    <n v="2529.02"/>
    <s v="Returning"/>
    <n v="0.22"/>
    <x v="0"/>
    <x v="1"/>
    <s v="West-David"/>
  </r>
  <r>
    <n v="1017"/>
    <d v="2023-07-21T00:00:00"/>
    <s v="David"/>
    <x v="3"/>
    <n v="3388.69"/>
    <x v="21"/>
    <s v="Food"/>
    <n v="172.59"/>
    <n v="404.69"/>
    <s v="Returning"/>
    <n v="0.28999999999999998"/>
    <x v="1"/>
    <x v="0"/>
    <s v="East-David"/>
  </r>
  <r>
    <n v="1038"/>
    <d v="2023-11-09T00:00:00"/>
    <s v="David"/>
    <x v="3"/>
    <n v="6966.82"/>
    <x v="21"/>
    <s v="Food"/>
    <n v="1281.6500000000001"/>
    <n v="1709.71"/>
    <s v="Returning"/>
    <n v="0.14000000000000001"/>
    <x v="2"/>
    <x v="0"/>
    <s v="East-David"/>
  </r>
  <r>
    <n v="1024"/>
    <d v="2023-04-27T00:00:00"/>
    <s v="Alice"/>
    <x v="1"/>
    <n v="7734.12"/>
    <x v="31"/>
    <s v="Food"/>
    <n v="2069.0500000000002"/>
    <n v="2363.9"/>
    <s v="Returning"/>
    <n v="7.0000000000000007E-2"/>
    <x v="0"/>
    <x v="0"/>
    <s v="West-Alice"/>
  </r>
  <r>
    <n v="1069"/>
    <d v="2023-06-03T00:00:00"/>
    <s v="David"/>
    <x v="1"/>
    <n v="6581.04"/>
    <x v="31"/>
    <s v="Clothing"/>
    <n v="1434.2"/>
    <n v="1482.88"/>
    <s v="New"/>
    <n v="0.28000000000000003"/>
    <x v="2"/>
    <x v="1"/>
    <s v="West-David"/>
  </r>
  <r>
    <n v="1098"/>
    <d v="2023-10-18T00:00:00"/>
    <s v="Eve"/>
    <x v="1"/>
    <n v="1600.79"/>
    <x v="9"/>
    <s v="Furniture"/>
    <n v="725.03"/>
    <n v="828.94999999999902"/>
    <s v="New"/>
    <n v="0.18"/>
    <x v="1"/>
    <x v="0"/>
    <s v="West-Eve"/>
  </r>
  <r>
    <n v="1070"/>
    <d v="2023-03-04T00:00:00"/>
    <s v="Bob"/>
    <x v="2"/>
    <n v="8771.24"/>
    <x v="13"/>
    <s v="Electronics"/>
    <n v="3653.66"/>
    <n v="3896.19"/>
    <s v="New"/>
    <n v="0.03"/>
    <x v="2"/>
    <x v="1"/>
    <s v="South-Bob"/>
  </r>
  <r>
    <n v="1086"/>
    <d v="2023-09-01T00:00:00"/>
    <s v="Charlie"/>
    <x v="1"/>
    <n v="5437.04"/>
    <x v="1"/>
    <s v="Electronics"/>
    <n v="4075.08"/>
    <n v="4262.21"/>
    <s v="New"/>
    <n v="0.17"/>
    <x v="0"/>
    <x v="0"/>
    <s v="West-Charlie"/>
  </r>
  <r>
    <n v="1011"/>
    <d v="2023-01-25T00:00:00"/>
    <s v="Eve"/>
    <x v="0"/>
    <n v="2896.48"/>
    <x v="33"/>
    <s v="Electronics"/>
    <n v="1324.52"/>
    <n v="1510.3"/>
    <s v="Returning"/>
    <n v="0.15"/>
    <x v="0"/>
    <x v="1"/>
    <s v="North-Eve"/>
  </r>
  <r>
    <n v="1016"/>
    <d v="2023-03-31T00:00:00"/>
    <s v="Eve"/>
    <x v="3"/>
    <n v="4309.76"/>
    <x v="34"/>
    <s v="Electronics"/>
    <n v="3883.38"/>
    <n v="4152.72"/>
    <s v="Returning"/>
    <n v="0.26"/>
    <x v="0"/>
    <x v="0"/>
    <s v="East-Eve"/>
  </r>
  <r>
    <n v="1097"/>
    <d v="2023-03-16T00:00:00"/>
    <s v="David"/>
    <x v="2"/>
    <n v="471.95"/>
    <x v="22"/>
    <s v="Food"/>
    <n v="1958.49"/>
    <n v="2254.84"/>
    <s v="New"/>
    <n v="0.16"/>
    <x v="2"/>
    <x v="0"/>
    <s v="South-David"/>
  </r>
  <r>
    <n v="1073"/>
    <d v="2023-10-21T00:00:00"/>
    <s v="Alice"/>
    <x v="1"/>
    <n v="1365.88"/>
    <x v="27"/>
    <s v="Furniture"/>
    <n v="2558.09"/>
    <n v="2958.55"/>
    <s v="New"/>
    <n v="0.08"/>
    <x v="0"/>
    <x v="0"/>
    <s v="West-Alice"/>
  </r>
  <r>
    <n v="1059"/>
    <d v="2023-07-29T00:00:00"/>
    <s v="Bob"/>
    <x v="2"/>
    <n v="7678.91"/>
    <x v="25"/>
    <s v="Furniture"/>
    <n v="4287.21"/>
    <n v="4464.28"/>
    <s v="Returning"/>
    <n v="0.2"/>
    <x v="2"/>
    <x v="1"/>
    <s v="South-Bob"/>
  </r>
  <r>
    <n v="1070"/>
    <d v="2023-12-13T00:00:00"/>
    <s v="Alice"/>
    <x v="1"/>
    <n v="100.12"/>
    <x v="29"/>
    <s v="Clothing"/>
    <n v="3762.27"/>
    <n v="4166.95"/>
    <s v="Returning"/>
    <n v="0.16"/>
    <x v="1"/>
    <x v="0"/>
    <s v="West-Alice"/>
  </r>
  <r>
    <n v="1080"/>
    <d v="2023-01-17T00:00:00"/>
    <s v="Bob"/>
    <x v="2"/>
    <n v="4224"/>
    <x v="20"/>
    <s v="Furniture"/>
    <n v="4035.33"/>
    <n v="4211.25"/>
    <s v="Returning"/>
    <n v="7.0000000000000007E-2"/>
    <x v="1"/>
    <x v="0"/>
    <s v="South-Bob"/>
  </r>
  <r>
    <n v="1093"/>
    <d v="2023-05-08T00:00:00"/>
    <s v="Bob"/>
    <x v="3"/>
    <n v="5272.85"/>
    <x v="1"/>
    <s v="Furniture"/>
    <n v="727.38"/>
    <n v="764.54"/>
    <s v="Returning"/>
    <n v="0.17"/>
    <x v="2"/>
    <x v="1"/>
    <s v="East-Bob"/>
  </r>
  <r>
    <n v="1003"/>
    <d v="2023-12-30T00:00:00"/>
    <s v="Alice"/>
    <x v="3"/>
    <n v="640.88"/>
    <x v="1"/>
    <s v="Furniture"/>
    <n v="395.11"/>
    <n v="676.66"/>
    <s v="Returning"/>
    <n v="0.25"/>
    <x v="0"/>
    <x v="1"/>
    <s v="East-Alice"/>
  </r>
  <r>
    <n v="1020"/>
    <d v="2023-09-08T00:00:00"/>
    <s v="Eve"/>
    <x v="0"/>
    <n v="9733.4699999999993"/>
    <x v="42"/>
    <s v="Clothing"/>
    <n v="4472.3500000000004"/>
    <n v="4770.42"/>
    <s v="New"/>
    <n v="0.01"/>
    <x v="2"/>
    <x v="1"/>
    <s v="North-Eve"/>
  </r>
  <r>
    <n v="1059"/>
    <d v="2023-06-28T00:00:00"/>
    <s v="Bob"/>
    <x v="0"/>
    <n v="2338.64"/>
    <x v="4"/>
    <s v="Electronics"/>
    <n v="1969.78"/>
    <n v="2437.6999999999998"/>
    <s v="New"/>
    <n v="0.19"/>
    <x v="2"/>
    <x v="1"/>
    <s v="North-Bob"/>
  </r>
  <r>
    <n v="1036"/>
    <d v="2023-07-01T00:00:00"/>
    <s v="Alice"/>
    <x v="1"/>
    <n v="3111.57"/>
    <x v="1"/>
    <s v="Furniture"/>
    <n v="1475"/>
    <n v="1840.77"/>
    <s v="Returning"/>
    <n v="0.1"/>
    <x v="2"/>
    <x v="0"/>
    <s v="West-Alice"/>
  </r>
  <r>
    <n v="1019"/>
    <d v="2023-06-01T00:00:00"/>
    <s v="Bob"/>
    <x v="3"/>
    <n v="3109.03"/>
    <x v="34"/>
    <s v="Clothing"/>
    <n v="3637.25"/>
    <n v="4096.96"/>
    <s v="Returning"/>
    <n v="0.09"/>
    <x v="1"/>
    <x v="0"/>
    <s v="East-Bob"/>
  </r>
  <r>
    <n v="1090"/>
    <d v="2023-01-25T00:00:00"/>
    <s v="Charlie"/>
    <x v="2"/>
    <n v="2381.12"/>
    <x v="1"/>
    <s v="Clothing"/>
    <n v="4190.26"/>
    <n v="4645.3500000000004"/>
    <s v="New"/>
    <n v="0.12"/>
    <x v="2"/>
    <x v="1"/>
    <s v="South-Charlie"/>
  </r>
  <r>
    <n v="1067"/>
    <d v="2023-06-29T00:00:00"/>
    <s v="Eve"/>
    <x v="2"/>
    <n v="114.59"/>
    <x v="10"/>
    <s v="Food"/>
    <n v="4319.32"/>
    <n v="4625.5599999999904"/>
    <s v="Returning"/>
    <n v="0.1"/>
    <x v="1"/>
    <x v="0"/>
    <s v="South-Eve"/>
  </r>
  <r>
    <n v="1019"/>
    <d v="2023-07-17T00:00:00"/>
    <s v="David"/>
    <x v="2"/>
    <n v="7320.51"/>
    <x v="28"/>
    <s v="Clothing"/>
    <n v="1614.19"/>
    <n v="1882.79"/>
    <s v="New"/>
    <n v="0.25"/>
    <x v="2"/>
    <x v="1"/>
    <s v="South-David"/>
  </r>
  <r>
    <n v="1020"/>
    <d v="2023-12-10T00:00:00"/>
    <s v="Bob"/>
    <x v="0"/>
    <n v="9671.77"/>
    <x v="27"/>
    <s v="Electronics"/>
    <n v="4268.45"/>
    <n v="4551.5999999999904"/>
    <s v="New"/>
    <n v="0.08"/>
    <x v="1"/>
    <x v="0"/>
    <s v="North-Bob"/>
  </r>
  <r>
    <n v="1096"/>
    <d v="2023-06-10T00:00:00"/>
    <s v="Charlie"/>
    <x v="2"/>
    <n v="2320.5100000000002"/>
    <x v="32"/>
    <s v="Furniture"/>
    <n v="252.62"/>
    <n v="742"/>
    <s v="New"/>
    <n v="0.22"/>
    <x v="2"/>
    <x v="1"/>
    <s v="South-Charlie"/>
  </r>
  <r>
    <n v="1071"/>
    <d v="2023-06-26T00:00:00"/>
    <s v="David"/>
    <x v="0"/>
    <n v="6664.17"/>
    <x v="22"/>
    <s v="Clothing"/>
    <n v="295.82"/>
    <n v="684.67"/>
    <s v="New"/>
    <n v="0.03"/>
    <x v="2"/>
    <x v="0"/>
    <s v="North-David"/>
  </r>
  <r>
    <n v="1052"/>
    <d v="2023-10-12T00:00:00"/>
    <s v="David"/>
    <x v="0"/>
    <n v="7444.77"/>
    <x v="7"/>
    <s v="Electronics"/>
    <n v="3136.42"/>
    <n v="3198.49"/>
    <s v="Returning"/>
    <n v="0.28999999999999998"/>
    <x v="0"/>
    <x v="1"/>
    <s v="North-David"/>
  </r>
  <r>
    <n v="1033"/>
    <d v="2023-03-04T00:00:00"/>
    <s v="Bob"/>
    <x v="1"/>
    <n v="8499.41"/>
    <x v="28"/>
    <s v="Clothing"/>
    <n v="362.38"/>
    <n v="753.81"/>
    <s v="Returning"/>
    <n v="0.19"/>
    <x v="0"/>
    <x v="1"/>
    <s v="West-Bob"/>
  </r>
  <r>
    <n v="1040"/>
    <d v="2023-05-30T00:00:00"/>
    <s v="Alice"/>
    <x v="2"/>
    <n v="4284.03"/>
    <x v="20"/>
    <s v="Clothing"/>
    <n v="1656.82"/>
    <n v="1750.3799999999901"/>
    <s v="New"/>
    <n v="0.21"/>
    <x v="2"/>
    <x v="0"/>
    <s v="South-Alice"/>
  </r>
  <r>
    <n v="1039"/>
    <d v="2023-06-03T00:00:00"/>
    <s v="Bob"/>
    <x v="2"/>
    <n v="3099.02"/>
    <x v="29"/>
    <s v="Clothing"/>
    <n v="3380.14"/>
    <n v="3609.3399999999901"/>
    <s v="Returning"/>
    <n v="0.09"/>
    <x v="2"/>
    <x v="0"/>
    <s v="South-Bob"/>
  </r>
  <r>
    <n v="1082"/>
    <d v="2023-06-05T00:00:00"/>
    <s v="Charlie"/>
    <x v="3"/>
    <n v="3320.42"/>
    <x v="13"/>
    <s v="Clothing"/>
    <n v="1719.47"/>
    <n v="1832.6"/>
    <s v="Returning"/>
    <n v="0.12"/>
    <x v="2"/>
    <x v="0"/>
    <s v="East-Charlie"/>
  </r>
  <r>
    <n v="1001"/>
    <d v="2023-02-18T00:00:00"/>
    <s v="David"/>
    <x v="1"/>
    <n v="7154.95"/>
    <x v="30"/>
    <s v="Clothing"/>
    <n v="939.02"/>
    <n v="1286.92"/>
    <s v="Returning"/>
    <n v="7.0000000000000007E-2"/>
    <x v="2"/>
    <x v="1"/>
    <s v="West-David"/>
  </r>
  <r>
    <n v="1011"/>
    <d v="2023-12-03T00:00:00"/>
    <s v="Bob"/>
    <x v="3"/>
    <n v="8186.12"/>
    <x v="4"/>
    <s v="Electronics"/>
    <n v="1442.69"/>
    <n v="1882.57"/>
    <s v="Returning"/>
    <n v="0.28000000000000003"/>
    <x v="0"/>
    <x v="0"/>
    <s v="East-Bob"/>
  </r>
  <r>
    <n v="1092"/>
    <d v="2023-03-25T00:00:00"/>
    <s v="Alice"/>
    <x v="1"/>
    <n v="1897.98"/>
    <x v="37"/>
    <s v="Furniture"/>
    <n v="2315"/>
    <n v="2467.2800000000002"/>
    <s v="New"/>
    <n v="0.15"/>
    <x v="1"/>
    <x v="1"/>
    <s v="West-Alice"/>
  </r>
  <r>
    <n v="1057"/>
    <d v="2023-12-27T00:00:00"/>
    <s v="Bob"/>
    <x v="2"/>
    <n v="3772.32"/>
    <x v="17"/>
    <s v="Furniture"/>
    <n v="2403.16"/>
    <n v="2453.35"/>
    <s v="Returning"/>
    <n v="0.19"/>
    <x v="2"/>
    <x v="0"/>
    <s v="South-Bob"/>
  </r>
  <r>
    <n v="1089"/>
    <d v="2023-06-26T00:00:00"/>
    <s v="Eve"/>
    <x v="0"/>
    <n v="9029.2099999999991"/>
    <x v="22"/>
    <s v="Furniture"/>
    <n v="3925.85"/>
    <n v="4082.1099999999901"/>
    <s v="New"/>
    <n v="0.22"/>
    <x v="0"/>
    <x v="0"/>
    <s v="North-Eve"/>
  </r>
  <r>
    <n v="1050"/>
    <d v="2023-05-28T00:00:00"/>
    <s v="Alice"/>
    <x v="0"/>
    <n v="8086.27"/>
    <x v="32"/>
    <s v="Furniture"/>
    <n v="3763.26"/>
    <n v="4102.72"/>
    <s v="New"/>
    <n v="0.11"/>
    <x v="2"/>
    <x v="1"/>
    <s v="North-Alice"/>
  </r>
  <r>
    <n v="1023"/>
    <d v="2023-04-28T00:00:00"/>
    <s v="Charlie"/>
    <x v="0"/>
    <n v="9850.1"/>
    <x v="47"/>
    <s v="Electronics"/>
    <n v="2311.25"/>
    <n v="2482.34"/>
    <s v="Returning"/>
    <n v="0.22"/>
    <x v="2"/>
    <x v="1"/>
    <s v="North-Charlie"/>
  </r>
  <r>
    <n v="1031"/>
    <d v="2023-12-08T00:00:00"/>
    <s v="David"/>
    <x v="0"/>
    <n v="7567.06"/>
    <x v="33"/>
    <s v="Food"/>
    <n v="4236.05"/>
    <n v="4382.32"/>
    <s v="New"/>
    <n v="0.2"/>
    <x v="1"/>
    <x v="0"/>
    <s v="North-David"/>
  </r>
  <r>
    <n v="1094"/>
    <d v="2023-03-04T00:00:00"/>
    <s v="Bob"/>
    <x v="0"/>
    <n v="3992.63"/>
    <x v="37"/>
    <s v="Food"/>
    <n v="615.47"/>
    <n v="715.84"/>
    <s v="Returning"/>
    <n v="0.21"/>
    <x v="2"/>
    <x v="1"/>
    <s v="North-Bob"/>
  </r>
  <r>
    <n v="1042"/>
    <d v="2023-07-08T00:00:00"/>
    <s v="Alice"/>
    <x v="3"/>
    <n v="5947.31"/>
    <x v="18"/>
    <s v="Electronics"/>
    <n v="1314"/>
    <n v="1567.78"/>
    <s v="Returning"/>
    <n v="0.15"/>
    <x v="2"/>
    <x v="1"/>
    <s v="East-Alice"/>
  </r>
  <r>
    <n v="1099"/>
    <d v="2023-12-26T00:00:00"/>
    <s v="Eve"/>
    <x v="1"/>
    <n v="6644.04"/>
    <x v="44"/>
    <s v="Electronics"/>
    <n v="4148.4799999999996"/>
    <n v="4293.6899999999996"/>
    <s v="New"/>
    <n v="0.11"/>
    <x v="1"/>
    <x v="0"/>
    <s v="West-Eve"/>
  </r>
  <r>
    <n v="1007"/>
    <d v="2023-02-18T00:00:00"/>
    <s v="Alice"/>
    <x v="2"/>
    <n v="876.71"/>
    <x v="24"/>
    <s v="Clothing"/>
    <n v="1921.07"/>
    <n v="2289.27"/>
    <s v="Returning"/>
    <n v="7.0000000000000007E-2"/>
    <x v="1"/>
    <x v="1"/>
    <s v="South-Alice"/>
  </r>
  <r>
    <n v="1016"/>
    <d v="2023-11-23T00:00:00"/>
    <s v="Eve"/>
    <x v="3"/>
    <n v="5490.52"/>
    <x v="42"/>
    <s v="Clothing"/>
    <n v="4906.8500000000004"/>
    <n v="4954.3900000000003"/>
    <s v="New"/>
    <n v="0.25"/>
    <x v="1"/>
    <x v="0"/>
    <s v="East-Eve"/>
  </r>
  <r>
    <n v="1090"/>
    <d v="2023-09-14T00:00:00"/>
    <s v="Charlie"/>
    <x v="1"/>
    <n v="7122.28"/>
    <x v="20"/>
    <s v="Clothing"/>
    <n v="2357.9499999999998"/>
    <n v="2693.33"/>
    <s v="New"/>
    <n v="0.18"/>
    <x v="1"/>
    <x v="0"/>
    <s v="West-Charlie"/>
  </r>
  <r>
    <n v="1060"/>
    <d v="2023-08-12T00:00:00"/>
    <s v="David"/>
    <x v="0"/>
    <n v="1756.48"/>
    <x v="47"/>
    <s v="Furniture"/>
    <n v="3970.08"/>
    <n v="4096.4799999999996"/>
    <s v="Returning"/>
    <n v="0.13"/>
    <x v="0"/>
    <x v="1"/>
    <s v="North-David"/>
  </r>
  <r>
    <n v="1002"/>
    <d v="2023-05-21T00:00:00"/>
    <s v="Charlie"/>
    <x v="1"/>
    <n v="7828.25"/>
    <x v="42"/>
    <s v="Clothing"/>
    <n v="2041.42"/>
    <n v="2291.17"/>
    <s v="Returning"/>
    <n v="0.28000000000000003"/>
    <x v="0"/>
    <x v="0"/>
    <s v="West-Charlie"/>
  </r>
  <r>
    <n v="1001"/>
    <d v="2023-08-03T00:00:00"/>
    <s v="Bob"/>
    <x v="1"/>
    <n v="5879.35"/>
    <x v="46"/>
    <s v="Food"/>
    <n v="2153.52"/>
    <n v="2303.6999999999998"/>
    <s v="Returning"/>
    <n v="0.01"/>
    <x v="0"/>
    <x v="1"/>
    <s v="West-Bob"/>
  </r>
  <r>
    <n v="1048"/>
    <d v="2023-07-30T00:00:00"/>
    <s v="Alice"/>
    <x v="0"/>
    <n v="9527"/>
    <x v="32"/>
    <s v="Furniture"/>
    <n v="1945.27"/>
    <n v="2309.4299999999998"/>
    <s v="New"/>
    <n v="0.26"/>
    <x v="2"/>
    <x v="0"/>
    <s v="North-Alice"/>
  </r>
  <r>
    <n v="1012"/>
    <d v="2023-11-14T00:00:00"/>
    <s v="Eve"/>
    <x v="0"/>
    <n v="519.98"/>
    <x v="32"/>
    <s v="Clothing"/>
    <n v="3609.42"/>
    <n v="4082.62"/>
    <s v="Returning"/>
    <n v="0.3"/>
    <x v="1"/>
    <x v="1"/>
    <s v="North-Eve"/>
  </r>
  <r>
    <n v="1069"/>
    <d v="2023-02-01T00:00:00"/>
    <s v="Eve"/>
    <x v="0"/>
    <n v="2726.73"/>
    <x v="0"/>
    <s v="Furniture"/>
    <n v="2760.21"/>
    <n v="3219.58"/>
    <s v="New"/>
    <n v="0.27"/>
    <x v="1"/>
    <x v="1"/>
    <s v="North-Eve"/>
  </r>
  <r>
    <n v="1037"/>
    <d v="2023-06-07T00:00:00"/>
    <s v="Alice"/>
    <x v="2"/>
    <n v="6055.38"/>
    <x v="41"/>
    <s v="Food"/>
    <n v="4721.7"/>
    <n v="5017.58"/>
    <s v="New"/>
    <n v="0.24"/>
    <x v="0"/>
    <x v="1"/>
    <s v="South-Alice"/>
  </r>
  <r>
    <n v="1032"/>
    <d v="2023-10-12T00:00:00"/>
    <s v="Alice"/>
    <x v="0"/>
    <n v="3035.94"/>
    <x v="1"/>
    <s v="Clothing"/>
    <n v="1291.9100000000001"/>
    <n v="1528.59"/>
    <s v="Returning"/>
    <n v="0.11"/>
    <x v="2"/>
    <x v="1"/>
    <s v="North-Alice"/>
  </r>
  <r>
    <n v="1009"/>
    <d v="2023-11-01T00:00:00"/>
    <s v="Bob"/>
    <x v="2"/>
    <n v="7172.8"/>
    <x v="28"/>
    <s v="Food"/>
    <n v="547.79"/>
    <n v="958.76"/>
    <s v="Returning"/>
    <n v="7.0000000000000007E-2"/>
    <x v="2"/>
    <x v="1"/>
    <s v="South-Bob"/>
  </r>
  <r>
    <n v="1099"/>
    <d v="2023-10-13T00:00:00"/>
    <s v="Charlie"/>
    <x v="0"/>
    <n v="7614.15"/>
    <x v="28"/>
    <s v="Food"/>
    <n v="1996.64"/>
    <n v="2341.4699999999998"/>
    <s v="Returning"/>
    <n v="0.22"/>
    <x v="2"/>
    <x v="0"/>
    <s v="North-Charlie"/>
  </r>
  <r>
    <n v="1019"/>
    <d v="2023-05-24T00:00:00"/>
    <s v="Eve"/>
    <x v="2"/>
    <n v="1114.9100000000001"/>
    <x v="4"/>
    <s v="Food"/>
    <n v="3102.73"/>
    <n v="3202.68"/>
    <s v="New"/>
    <n v="0.09"/>
    <x v="0"/>
    <x v="0"/>
    <s v="South-Eve"/>
  </r>
  <r>
    <n v="1048"/>
    <d v="2023-01-19T00:00:00"/>
    <s v="Bob"/>
    <x v="1"/>
    <n v="5187.16"/>
    <x v="48"/>
    <s v="Clothing"/>
    <n v="4310.95"/>
    <n v="4723.2"/>
    <s v="Returning"/>
    <n v="0.05"/>
    <x v="2"/>
    <x v="1"/>
    <s v="West-Bob"/>
  </r>
  <r>
    <n v="1080"/>
    <d v="2023-01-18T00:00:00"/>
    <s v="Charlie"/>
    <x v="3"/>
    <n v="5138.0200000000004"/>
    <x v="16"/>
    <s v="Electronics"/>
    <n v="1763.67"/>
    <n v="1983.82"/>
    <s v="New"/>
    <n v="0.24"/>
    <x v="2"/>
    <x v="0"/>
    <s v="East-Charlie"/>
  </r>
  <r>
    <n v="1003"/>
    <d v="2023-09-14T00:00:00"/>
    <s v="Bob"/>
    <x v="1"/>
    <n v="3755.88"/>
    <x v="13"/>
    <s v="Clothing"/>
    <n v="3286.24"/>
    <n v="3388.8399999999901"/>
    <s v="Returning"/>
    <n v="0.09"/>
    <x v="2"/>
    <x v="1"/>
    <s v="West-Bob"/>
  </r>
  <r>
    <n v="1020"/>
    <d v="2023-03-19T00:00:00"/>
    <s v="Eve"/>
    <x v="1"/>
    <n v="9335.9599999999991"/>
    <x v="12"/>
    <s v="Food"/>
    <n v="1783.48"/>
    <n v="1931.56"/>
    <s v="Returning"/>
    <n v="0.27"/>
    <x v="1"/>
    <x v="1"/>
    <s v="West-Eve"/>
  </r>
  <r>
    <n v="1024"/>
    <d v="2023-06-24T00:00:00"/>
    <s v="Alice"/>
    <x v="0"/>
    <n v="8292.31"/>
    <x v="8"/>
    <s v="Clothing"/>
    <n v="3105.24"/>
    <n v="3246.33"/>
    <s v="New"/>
    <n v="0.25"/>
    <x v="0"/>
    <x v="0"/>
    <s v="North-Alice"/>
  </r>
  <r>
    <n v="1054"/>
    <d v="2023-07-13T00:00:00"/>
    <s v="Alice"/>
    <x v="2"/>
    <n v="7002.37"/>
    <x v="20"/>
    <s v="Food"/>
    <n v="4429.8"/>
    <n v="4694.21"/>
    <s v="New"/>
    <n v="0.25"/>
    <x v="1"/>
    <x v="0"/>
    <s v="South-Alice"/>
  </r>
  <r>
    <n v="1033"/>
    <d v="2023-04-23T00:00:00"/>
    <s v="Charlie"/>
    <x v="3"/>
    <n v="7171.83"/>
    <x v="16"/>
    <s v="Electronics"/>
    <n v="1195.22"/>
    <n v="1320.06"/>
    <s v="Returning"/>
    <n v="0.23"/>
    <x v="1"/>
    <x v="1"/>
    <s v="East-Charlie"/>
  </r>
  <r>
    <n v="1024"/>
    <d v="2023-04-24T00:00:00"/>
    <s v="David"/>
    <x v="0"/>
    <n v="4670.99"/>
    <x v="22"/>
    <s v="Furniture"/>
    <n v="2051"/>
    <n v="2121.5500000000002"/>
    <s v="Returning"/>
    <n v="0.26"/>
    <x v="0"/>
    <x v="1"/>
    <s v="North-David"/>
  </r>
  <r>
    <n v="1075"/>
    <d v="2023-08-10T00:00:00"/>
    <s v="Charlie"/>
    <x v="0"/>
    <n v="9217.85"/>
    <x v="1"/>
    <s v="Electronics"/>
    <n v="4966.66"/>
    <n v="5037.2699999999904"/>
    <s v="Returning"/>
    <n v="0.24"/>
    <x v="1"/>
    <x v="1"/>
    <s v="North-Charlie"/>
  </r>
  <r>
    <n v="1072"/>
    <d v="2023-06-15T00:00:00"/>
    <s v="David"/>
    <x v="0"/>
    <n v="6976.49"/>
    <x v="22"/>
    <s v="Electronics"/>
    <n v="4349.3599999999997"/>
    <n v="4645.17"/>
    <s v="Returning"/>
    <n v="0.18"/>
    <x v="2"/>
    <x v="1"/>
    <s v="North-David"/>
  </r>
  <r>
    <n v="1036"/>
    <d v="2023-11-15T00:00:00"/>
    <s v="Bob"/>
    <x v="1"/>
    <n v="7316.91"/>
    <x v="12"/>
    <s v="Furniture"/>
    <n v="2844.97"/>
    <n v="3215"/>
    <s v="Returning"/>
    <n v="0.09"/>
    <x v="2"/>
    <x v="1"/>
    <s v="West-Bob"/>
  </r>
  <r>
    <n v="1038"/>
    <d v="2023-05-12T00:00:00"/>
    <s v="Bob"/>
    <x v="2"/>
    <n v="8630.74"/>
    <x v="46"/>
    <s v="Clothing"/>
    <n v="2607.31"/>
    <n v="2774.86"/>
    <s v="New"/>
    <n v="0.27"/>
    <x v="2"/>
    <x v="1"/>
    <s v="South-Bob"/>
  </r>
  <r>
    <n v="1084"/>
    <d v="2023-09-21T00:00:00"/>
    <s v="Eve"/>
    <x v="2"/>
    <n v="2813.31"/>
    <x v="43"/>
    <s v="Furniture"/>
    <n v="1458.77"/>
    <n v="1485.75"/>
    <s v="New"/>
    <n v="0.25"/>
    <x v="2"/>
    <x v="0"/>
    <s v="South-Eve"/>
  </r>
  <r>
    <n v="1099"/>
    <d v="2023-02-24T00:00:00"/>
    <s v="David"/>
    <x v="3"/>
    <n v="8090"/>
    <x v="22"/>
    <s v="Clothing"/>
    <n v="2610.19"/>
    <n v="2682.53"/>
    <s v="New"/>
    <n v="0.14000000000000001"/>
    <x v="0"/>
    <x v="1"/>
    <s v="East-David"/>
  </r>
  <r>
    <n v="1089"/>
    <d v="2023-12-25T00:00:00"/>
    <s v="Eve"/>
    <x v="2"/>
    <n v="2032.88"/>
    <x v="5"/>
    <s v="Clothing"/>
    <n v="4248.5"/>
    <n v="4706.7"/>
    <s v="New"/>
    <n v="0.01"/>
    <x v="1"/>
    <x v="1"/>
    <s v="South-Eve"/>
  </r>
  <r>
    <n v="1099"/>
    <d v="2023-05-11T00:00:00"/>
    <s v="Alice"/>
    <x v="2"/>
    <n v="3518.89"/>
    <x v="10"/>
    <s v="Food"/>
    <n v="3441.61"/>
    <n v="3693.45"/>
    <s v="Returning"/>
    <n v="0.19"/>
    <x v="1"/>
    <x v="0"/>
    <s v="South-Alice"/>
  </r>
  <r>
    <n v="1025"/>
    <d v="2023-10-15T00:00:00"/>
    <s v="David"/>
    <x v="0"/>
    <n v="3422.54"/>
    <x v="16"/>
    <s v="Food"/>
    <n v="1485.72"/>
    <n v="1717.97"/>
    <s v="New"/>
    <n v="0.02"/>
    <x v="2"/>
    <x v="1"/>
    <s v="North-David"/>
  </r>
  <r>
    <n v="1093"/>
    <d v="2023-09-23T00:00:00"/>
    <s v="Charlie"/>
    <x v="0"/>
    <n v="9787.4"/>
    <x v="11"/>
    <s v="Furniture"/>
    <n v="1047.25"/>
    <n v="1075.8900000000001"/>
    <s v="New"/>
    <n v="0.28000000000000003"/>
    <x v="2"/>
    <x v="1"/>
    <s v="North-Charlie"/>
  </r>
  <r>
    <n v="1018"/>
    <d v="2024-01-01T00:00:00"/>
    <s v="Alice"/>
    <x v="1"/>
    <n v="8579.7199999999993"/>
    <x v="38"/>
    <s v="Electronics"/>
    <n v="1362.78"/>
    <n v="1729.81"/>
    <s v="New"/>
    <n v="0.28999999999999998"/>
    <x v="1"/>
    <x v="0"/>
    <s v="West-Alice"/>
  </r>
  <r>
    <n v="1082"/>
    <d v="2023-06-11T00:00:00"/>
    <s v="Alice"/>
    <x v="0"/>
    <n v="7041.58"/>
    <x v="1"/>
    <s v="Furniture"/>
    <n v="890.31"/>
    <n v="1159.06"/>
    <s v="Returning"/>
    <n v="0.06"/>
    <x v="0"/>
    <x v="1"/>
    <s v="North-Alice"/>
  </r>
  <r>
    <n v="1066"/>
    <d v="2023-03-28T00:00:00"/>
    <s v="Charlie"/>
    <x v="0"/>
    <n v="7297.86"/>
    <x v="48"/>
    <s v="Clothing"/>
    <n v="523.41999999999996"/>
    <n v="632.43999999999903"/>
    <s v="New"/>
    <n v="0.2"/>
    <x v="1"/>
    <x v="0"/>
    <s v="North-Charlie"/>
  </r>
  <r>
    <n v="1054"/>
    <d v="2023-02-24T00:00:00"/>
    <s v="Alice"/>
    <x v="0"/>
    <n v="5664.52"/>
    <x v="8"/>
    <s v="Food"/>
    <n v="2124.7199999999998"/>
    <n v="2188.66"/>
    <s v="Returning"/>
    <n v="0.03"/>
    <x v="2"/>
    <x v="1"/>
    <s v="North-Alice"/>
  </r>
  <r>
    <n v="1035"/>
    <d v="2023-10-15T00:00:00"/>
    <s v="David"/>
    <x v="0"/>
    <n v="9476.2000000000007"/>
    <x v="21"/>
    <s v="Furniture"/>
    <n v="610.83000000000004"/>
    <n v="808.69"/>
    <s v="New"/>
    <n v="0.22"/>
    <x v="2"/>
    <x v="0"/>
    <s v="North-David"/>
  </r>
  <r>
    <n v="1080"/>
    <d v="2023-06-27T00:00:00"/>
    <s v="Eve"/>
    <x v="1"/>
    <n v="5012.96"/>
    <x v="22"/>
    <s v="Furniture"/>
    <n v="900.97"/>
    <n v="1321.18"/>
    <s v="Returning"/>
    <n v="0.1"/>
    <x v="0"/>
    <x v="0"/>
    <s v="West-Eve"/>
  </r>
  <r>
    <n v="1061"/>
    <d v="2023-12-15T00:00:00"/>
    <s v="Alice"/>
    <x v="0"/>
    <n v="3867.13"/>
    <x v="5"/>
    <s v="Food"/>
    <n v="2759.26"/>
    <n v="3193.25"/>
    <s v="New"/>
    <n v="0.2"/>
    <x v="1"/>
    <x v="0"/>
    <s v="North-Alice"/>
  </r>
  <r>
    <n v="1041"/>
    <d v="2023-01-08T00:00:00"/>
    <s v="David"/>
    <x v="3"/>
    <n v="1714.05"/>
    <x v="43"/>
    <s v="Food"/>
    <n v="864.77"/>
    <n v="1170.1599999999901"/>
    <s v="Returning"/>
    <n v="0.11"/>
    <x v="0"/>
    <x v="1"/>
    <s v="East-David"/>
  </r>
  <r>
    <n v="1100"/>
    <d v="2023-11-17T00:00:00"/>
    <s v="Bob"/>
    <x v="3"/>
    <n v="7883.44"/>
    <x v="4"/>
    <s v="Food"/>
    <n v="366.2"/>
    <n v="732.69"/>
    <s v="New"/>
    <n v="0.04"/>
    <x v="0"/>
    <x v="1"/>
    <s v="East-Bob"/>
  </r>
  <r>
    <n v="1033"/>
    <d v="2023-11-09T00:00:00"/>
    <s v="David"/>
    <x v="3"/>
    <n v="7370.99"/>
    <x v="32"/>
    <s v="Clothing"/>
    <n v="1621.07"/>
    <n v="1687.5"/>
    <s v="Returning"/>
    <n v="0.12"/>
    <x v="2"/>
    <x v="0"/>
    <s v="East-David"/>
  </r>
  <r>
    <n v="1068"/>
    <d v="2023-09-04T00:00:00"/>
    <s v="Eve"/>
    <x v="3"/>
    <n v="3905.11"/>
    <x v="28"/>
    <s v="Food"/>
    <n v="1140.58"/>
    <n v="1438.76"/>
    <s v="Returning"/>
    <n v="0.03"/>
    <x v="1"/>
    <x v="0"/>
    <s v="East-Eve"/>
  </r>
  <r>
    <n v="1033"/>
    <d v="2023-11-19T00:00:00"/>
    <s v="David"/>
    <x v="0"/>
    <n v="349.41"/>
    <x v="35"/>
    <s v="Electronics"/>
    <n v="2600.7600000000002"/>
    <n v="2937.57"/>
    <s v="New"/>
    <n v="0.17"/>
    <x v="2"/>
    <x v="1"/>
    <s v="North-David"/>
  </r>
  <r>
    <n v="1014"/>
    <d v="2023-09-12T00:00:00"/>
    <s v="Charlie"/>
    <x v="3"/>
    <n v="8406.07"/>
    <x v="10"/>
    <s v="Furniture"/>
    <n v="556.72"/>
    <n v="665.07"/>
    <s v="Returning"/>
    <n v="0.01"/>
    <x v="1"/>
    <x v="1"/>
    <s v="East-Charlie"/>
  </r>
  <r>
    <n v="1021"/>
    <d v="2023-11-24T00:00:00"/>
    <s v="Eve"/>
    <x v="0"/>
    <n v="213.04"/>
    <x v="13"/>
    <s v="Food"/>
    <n v="3771.27"/>
    <n v="4212.55"/>
    <s v="Returning"/>
    <n v="0.16"/>
    <x v="2"/>
    <x v="1"/>
    <s v="North-Eve"/>
  </r>
  <r>
    <n v="1048"/>
    <d v="2023-02-23T00:00:00"/>
    <s v="Bob"/>
    <x v="1"/>
    <n v="7066.63"/>
    <x v="20"/>
    <s v="Food"/>
    <n v="4535.8599999999997"/>
    <n v="4641.41"/>
    <s v="New"/>
    <n v="0.27"/>
    <x v="2"/>
    <x v="1"/>
    <s v="West-Bob"/>
  </r>
  <r>
    <n v="1020"/>
    <d v="2023-09-06T00:00:00"/>
    <s v="Charlie"/>
    <x v="3"/>
    <n v="9705.5499999999993"/>
    <x v="41"/>
    <s v="Clothing"/>
    <n v="3730"/>
    <n v="3893.6"/>
    <s v="New"/>
    <n v="0.25"/>
    <x v="1"/>
    <x v="1"/>
    <s v="East-Charlie"/>
  </r>
  <r>
    <n v="1008"/>
    <d v="2023-08-27T00:00:00"/>
    <s v="David"/>
    <x v="2"/>
    <n v="4432.8500000000004"/>
    <x v="11"/>
    <s v="Clothing"/>
    <n v="2687.49"/>
    <n v="3001.56"/>
    <s v="Returning"/>
    <n v="0.26"/>
    <x v="1"/>
    <x v="0"/>
    <s v="South-David"/>
  </r>
  <r>
    <n v="1007"/>
    <d v="2023-08-17T00:00:00"/>
    <s v="Eve"/>
    <x v="3"/>
    <n v="2426.2399999999998"/>
    <x v="25"/>
    <s v="Furniture"/>
    <n v="4310.3100000000004"/>
    <n v="4633.1000000000004"/>
    <s v="New"/>
    <n v="0.28000000000000003"/>
    <x v="2"/>
    <x v="1"/>
    <s v="East-Eve"/>
  </r>
  <r>
    <n v="1067"/>
    <d v="2023-03-08T00:00:00"/>
    <s v="Bob"/>
    <x v="3"/>
    <n v="7078.22"/>
    <x v="40"/>
    <s v="Electronics"/>
    <n v="3489.85"/>
    <n v="3842.5499999999902"/>
    <s v="New"/>
    <n v="0.03"/>
    <x v="1"/>
    <x v="0"/>
    <s v="East-Bob"/>
  </r>
  <r>
    <n v="1017"/>
    <d v="2023-02-20T00:00:00"/>
    <s v="Charlie"/>
    <x v="0"/>
    <n v="8189.57"/>
    <x v="25"/>
    <s v="Furniture"/>
    <n v="102.23"/>
    <n v="167.12"/>
    <s v="New"/>
    <n v="0.04"/>
    <x v="2"/>
    <x v="1"/>
    <s v="North-Charlie"/>
  </r>
  <r>
    <n v="1033"/>
    <d v="2023-04-07T00:00:00"/>
    <s v="Bob"/>
    <x v="3"/>
    <n v="5509.66"/>
    <x v="41"/>
    <s v="Food"/>
    <n v="2000.75"/>
    <n v="2426.9899999999998"/>
    <s v="Returning"/>
    <n v="0.17"/>
    <x v="1"/>
    <x v="0"/>
    <s v="East-Bob"/>
  </r>
  <r>
    <n v="1048"/>
    <d v="2023-04-02T00:00:00"/>
    <s v="David"/>
    <x v="2"/>
    <n v="9673.65"/>
    <x v="27"/>
    <s v="Electronics"/>
    <n v="4262.21"/>
    <n v="4533.3100000000004"/>
    <s v="Returning"/>
    <n v="0.27"/>
    <x v="2"/>
    <x v="0"/>
    <s v="South-David"/>
  </r>
  <r>
    <n v="1076"/>
    <d v="2023-09-21T00:00:00"/>
    <s v="Bob"/>
    <x v="0"/>
    <n v="611.52"/>
    <x v="42"/>
    <s v="Electronics"/>
    <n v="1762"/>
    <n v="2002.95"/>
    <s v="Returning"/>
    <n v="0.28999999999999998"/>
    <x v="2"/>
    <x v="1"/>
    <s v="North-Bob"/>
  </r>
  <r>
    <n v="1059"/>
    <d v="2023-10-18T00:00:00"/>
    <s v="Alice"/>
    <x v="0"/>
    <n v="5097.4799999999996"/>
    <x v="40"/>
    <s v="Electronics"/>
    <n v="224.32"/>
    <n v="715.06"/>
    <s v="Returning"/>
    <n v="0.01"/>
    <x v="2"/>
    <x v="0"/>
    <s v="North-Alice"/>
  </r>
  <r>
    <n v="1086"/>
    <d v="2023-04-06T00:00:00"/>
    <s v="Charlie"/>
    <x v="1"/>
    <n v="7212.69"/>
    <x v="5"/>
    <s v="Electronics"/>
    <n v="3743.59"/>
    <n v="4116.38"/>
    <s v="Returning"/>
    <n v="0.11"/>
    <x v="0"/>
    <x v="0"/>
    <s v="West-Charlie"/>
  </r>
  <r>
    <n v="1022"/>
    <d v="2023-03-29T00:00:00"/>
    <s v="Bob"/>
    <x v="1"/>
    <n v="8640.14"/>
    <x v="27"/>
    <s v="Furniture"/>
    <n v="4020.09"/>
    <n v="4087.91"/>
    <s v="Returning"/>
    <n v="0.06"/>
    <x v="1"/>
    <x v="0"/>
    <s v="West-Bob"/>
  </r>
  <r>
    <n v="1030"/>
    <d v="2023-03-19T00:00:00"/>
    <s v="David"/>
    <x v="3"/>
    <n v="1874.63"/>
    <x v="39"/>
    <s v="Clothing"/>
    <n v="844.94"/>
    <n v="1225.6400000000001"/>
    <s v="Returning"/>
    <n v="0.23"/>
    <x v="2"/>
    <x v="0"/>
    <s v="East-David"/>
  </r>
  <r>
    <n v="1038"/>
    <d v="2023-10-15T00:00:00"/>
    <s v="David"/>
    <x v="1"/>
    <n v="8020.03"/>
    <x v="17"/>
    <s v="Clothing"/>
    <n v="2709.84"/>
    <n v="2766.51"/>
    <s v="New"/>
    <n v="0.19"/>
    <x v="0"/>
    <x v="1"/>
    <s v="West-David"/>
  </r>
  <r>
    <n v="1051"/>
    <d v="2023-04-30T00:00:00"/>
    <s v="Bob"/>
    <x v="1"/>
    <n v="5571.8"/>
    <x v="45"/>
    <s v="Food"/>
    <n v="1000.18"/>
    <n v="1023.64"/>
    <s v="Returning"/>
    <n v="0.04"/>
    <x v="2"/>
    <x v="0"/>
    <s v="West-Bob"/>
  </r>
  <r>
    <n v="1054"/>
    <d v="2023-10-29T00:00:00"/>
    <s v="David"/>
    <x v="1"/>
    <n v="4025.88"/>
    <x v="29"/>
    <s v="Clothing"/>
    <n v="3610.21"/>
    <n v="3817.99"/>
    <s v="Returning"/>
    <n v="0.15"/>
    <x v="0"/>
    <x v="1"/>
    <s v="West-David"/>
  </r>
  <r>
    <n v="1008"/>
    <d v="2023-06-14T00:00:00"/>
    <s v="Eve"/>
    <x v="0"/>
    <n v="1403.98"/>
    <x v="38"/>
    <s v="Clothing"/>
    <n v="1394.17"/>
    <n v="1891.02"/>
    <s v="New"/>
    <n v="0.21"/>
    <x v="2"/>
    <x v="0"/>
    <s v="North-Eve"/>
  </r>
  <r>
    <n v="1027"/>
    <d v="2023-07-01T00:00:00"/>
    <s v="Eve"/>
    <x v="0"/>
    <n v="8666.43"/>
    <x v="13"/>
    <s v="Clothing"/>
    <n v="1615.26"/>
    <n v="1710.95"/>
    <s v="New"/>
    <n v="0.23"/>
    <x v="2"/>
    <x v="1"/>
    <s v="North-Eve"/>
  </r>
  <r>
    <n v="1027"/>
    <d v="2023-08-11T00:00:00"/>
    <s v="Eve"/>
    <x v="0"/>
    <n v="1657"/>
    <x v="8"/>
    <s v="Clothing"/>
    <n v="4232.6099999999997"/>
    <n v="4572.21"/>
    <s v="New"/>
    <n v="0.01"/>
    <x v="0"/>
    <x v="1"/>
    <s v="North-Eve"/>
  </r>
  <r>
    <n v="1098"/>
    <d v="2023-11-07T00:00:00"/>
    <s v="Alice"/>
    <x v="1"/>
    <n v="3166.9"/>
    <x v="17"/>
    <s v="Food"/>
    <n v="2407.8000000000002"/>
    <n v="2502.7600000000002"/>
    <s v="Returning"/>
    <n v="0.27"/>
    <x v="0"/>
    <x v="1"/>
    <s v="West-Alice"/>
  </r>
  <r>
    <n v="1021"/>
    <d v="2023-01-07T00:00:00"/>
    <s v="Bob"/>
    <x v="0"/>
    <n v="2971.45"/>
    <x v="14"/>
    <s v="Furniture"/>
    <n v="3365.28"/>
    <n v="3730.43"/>
    <s v="New"/>
    <n v="0.17"/>
    <x v="1"/>
    <x v="0"/>
    <s v="North-Bob"/>
  </r>
  <r>
    <n v="1030"/>
    <d v="2023-11-26T00:00:00"/>
    <s v="Alice"/>
    <x v="1"/>
    <n v="8727"/>
    <x v="3"/>
    <s v="Electronics"/>
    <n v="2041.75"/>
    <n v="2299.37"/>
    <s v="Returning"/>
    <n v="0.24"/>
    <x v="1"/>
    <x v="1"/>
    <s v="West-Alice"/>
  </r>
  <r>
    <n v="1097"/>
    <d v="2023-09-20T00:00:00"/>
    <s v="David"/>
    <x v="0"/>
    <n v="6759.76"/>
    <x v="27"/>
    <s v="Clothing"/>
    <n v="1525.13"/>
    <n v="1868.32"/>
    <s v="Returning"/>
    <n v="0.24"/>
    <x v="0"/>
    <x v="1"/>
    <s v="North-David"/>
  </r>
  <r>
    <n v="1028"/>
    <d v="2023-06-10T00:00:00"/>
    <s v="Alice"/>
    <x v="0"/>
    <n v="7987.15"/>
    <x v="39"/>
    <s v="Furniture"/>
    <n v="3146.12"/>
    <n v="3255.5299999999902"/>
    <s v="Returning"/>
    <n v="0.06"/>
    <x v="1"/>
    <x v="0"/>
    <s v="North-Alice"/>
  </r>
  <r>
    <n v="1064"/>
    <d v="2023-05-31T00:00:00"/>
    <s v="David"/>
    <x v="2"/>
    <n v="2579.63"/>
    <x v="29"/>
    <s v="Clothing"/>
    <n v="816.54"/>
    <n v="1191.9000000000001"/>
    <s v="New"/>
    <n v="0.03"/>
    <x v="0"/>
    <x v="1"/>
    <s v="South-David"/>
  </r>
  <r>
    <n v="1097"/>
    <d v="2023-03-26T00:00:00"/>
    <s v="David"/>
    <x v="3"/>
    <n v="6286.25"/>
    <x v="48"/>
    <s v="Clothing"/>
    <n v="1896.35"/>
    <n v="2394.1999999999998"/>
    <s v="New"/>
    <n v="0.22"/>
    <x v="1"/>
    <x v="0"/>
    <s v="East-David"/>
  </r>
  <r>
    <n v="1069"/>
    <d v="2023-05-27T00:00:00"/>
    <s v="Charlie"/>
    <x v="1"/>
    <n v="5760.29"/>
    <x v="16"/>
    <s v="Electronics"/>
    <n v="1084.73"/>
    <n v="1420.9"/>
    <s v="Returning"/>
    <n v="0.05"/>
    <x v="2"/>
    <x v="0"/>
    <s v="West-Charlie"/>
  </r>
  <r>
    <n v="1061"/>
    <d v="2023-04-22T00:00:00"/>
    <s v="Eve"/>
    <x v="2"/>
    <n v="8345.02"/>
    <x v="3"/>
    <s v="Electronics"/>
    <n v="3494.19"/>
    <n v="3746"/>
    <s v="Returning"/>
    <n v="0.25"/>
    <x v="1"/>
    <x v="1"/>
    <s v="South-Eve"/>
  </r>
  <r>
    <n v="1048"/>
    <d v="2023-02-05T00:00:00"/>
    <s v="David"/>
    <x v="0"/>
    <n v="9070.26"/>
    <x v="31"/>
    <s v="Electronics"/>
    <n v="4723.83"/>
    <n v="5186.1899999999996"/>
    <s v="Returning"/>
    <n v="0.22"/>
    <x v="2"/>
    <x v="0"/>
    <s v="North-David"/>
  </r>
  <r>
    <n v="1019"/>
    <d v="2023-10-12T00:00:00"/>
    <s v="Charlie"/>
    <x v="1"/>
    <n v="220.35"/>
    <x v="25"/>
    <s v="Clothing"/>
    <n v="4977.78"/>
    <n v="4995.55"/>
    <s v="New"/>
    <n v="0.25"/>
    <x v="2"/>
    <x v="0"/>
    <s v="West-Charlie"/>
  </r>
  <r>
    <n v="1004"/>
    <d v="2023-07-07T00:00:00"/>
    <s v="Eve"/>
    <x v="0"/>
    <n v="6772.8"/>
    <x v="22"/>
    <s v="Clothing"/>
    <n v="2278.87"/>
    <n v="2646.5299999999902"/>
    <s v="Returning"/>
    <n v="0.09"/>
    <x v="1"/>
    <x v="0"/>
    <s v="North-Eve"/>
  </r>
  <r>
    <n v="1035"/>
    <d v="2023-03-23T00:00:00"/>
    <s v="David"/>
    <x v="3"/>
    <n v="613.16999999999996"/>
    <x v="2"/>
    <s v="Clothing"/>
    <n v="1300.03"/>
    <n v="1745.52"/>
    <s v="New"/>
    <n v="0.09"/>
    <x v="0"/>
    <x v="1"/>
    <s v="East-David"/>
  </r>
  <r>
    <n v="1064"/>
    <d v="2023-01-02T00:00:00"/>
    <s v="David"/>
    <x v="2"/>
    <n v="5533.7"/>
    <x v="15"/>
    <s v="Electronics"/>
    <n v="2242.0100000000002"/>
    <n v="2282.23"/>
    <s v="Returning"/>
    <n v="0.2"/>
    <x v="2"/>
    <x v="0"/>
    <s v="South-David"/>
  </r>
  <r>
    <n v="1049"/>
    <d v="2023-10-30T00:00:00"/>
    <s v="Alice"/>
    <x v="3"/>
    <n v="2947.56"/>
    <x v="34"/>
    <s v="Food"/>
    <n v="4243.9799999999996"/>
    <n v="4474.5099999999902"/>
    <s v="New"/>
    <n v="0.01"/>
    <x v="2"/>
    <x v="0"/>
    <s v="East-Alice"/>
  </r>
  <r>
    <n v="1017"/>
    <d v="2023-07-16T00:00:00"/>
    <s v="Alice"/>
    <x v="2"/>
    <n v="3137.09"/>
    <x v="0"/>
    <s v="Furniture"/>
    <n v="1069.73"/>
    <n v="1180.04"/>
    <s v="Returning"/>
    <n v="0.22"/>
    <x v="1"/>
    <x v="0"/>
    <s v="South-Alice"/>
  </r>
  <r>
    <n v="1044"/>
    <d v="2023-01-11T00:00:00"/>
    <s v="Eve"/>
    <x v="0"/>
    <n v="3594.29"/>
    <x v="47"/>
    <s v="Food"/>
    <n v="4762.87"/>
    <n v="5050.46"/>
    <s v="New"/>
    <n v="0.25"/>
    <x v="0"/>
    <x v="1"/>
    <s v="North-Eve"/>
  </r>
  <r>
    <n v="1092"/>
    <d v="2023-08-22T00:00:00"/>
    <s v="David"/>
    <x v="3"/>
    <n v="6250.8"/>
    <x v="6"/>
    <s v="Clothing"/>
    <n v="1742.24"/>
    <n v="2070.52"/>
    <s v="New"/>
    <n v="0.12"/>
    <x v="0"/>
    <x v="0"/>
    <s v="East-David"/>
  </r>
  <r>
    <n v="1030"/>
    <d v="2023-07-14T00:00:00"/>
    <s v="Bob"/>
    <x v="3"/>
    <n v="3407.09"/>
    <x v="3"/>
    <s v="Clothing"/>
    <n v="4929.7299999999996"/>
    <n v="5088.0199999999904"/>
    <s v="New"/>
    <n v="0.23"/>
    <x v="1"/>
    <x v="1"/>
    <s v="East-Bob"/>
  </r>
  <r>
    <n v="1093"/>
    <d v="2023-04-29T00:00:00"/>
    <s v="Alice"/>
    <x v="0"/>
    <n v="7353.72"/>
    <x v="24"/>
    <s v="Food"/>
    <n v="4201.1099999999997"/>
    <n v="4436.5"/>
    <s v="New"/>
    <n v="0.05"/>
    <x v="0"/>
    <x v="0"/>
    <s v="North-Alice"/>
  </r>
  <r>
    <n v="1046"/>
    <d v="2023-01-20T00:00:00"/>
    <s v="Eve"/>
    <x v="3"/>
    <n v="4104.82"/>
    <x v="8"/>
    <s v="Clothing"/>
    <n v="4052.42"/>
    <n v="4199.3"/>
    <s v="New"/>
    <n v="0.1"/>
    <x v="1"/>
    <x v="1"/>
    <s v="East-Eve"/>
  </r>
  <r>
    <n v="1006"/>
    <d v="2023-09-18T00:00:00"/>
    <s v="David"/>
    <x v="1"/>
    <n v="776.7"/>
    <x v="27"/>
    <s v="Furniture"/>
    <n v="1623.63"/>
    <n v="1814.63"/>
    <s v="New"/>
    <n v="0.28999999999999998"/>
    <x v="1"/>
    <x v="1"/>
    <s v="West-David"/>
  </r>
  <r>
    <n v="1099"/>
    <d v="2023-10-20T00:00:00"/>
    <s v="David"/>
    <x v="2"/>
    <n v="7859.22"/>
    <x v="18"/>
    <s v="Clothing"/>
    <n v="93.45"/>
    <n v="181.62"/>
    <s v="Returning"/>
    <n v="0.3"/>
    <x v="1"/>
    <x v="1"/>
    <s v="South-David"/>
  </r>
  <r>
    <n v="1037"/>
    <d v="2023-09-13T00:00:00"/>
    <s v="Bob"/>
    <x v="2"/>
    <n v="2929.01"/>
    <x v="47"/>
    <s v="Furniture"/>
    <n v="1941.56"/>
    <n v="2385.48"/>
    <s v="Returning"/>
    <n v="0.15"/>
    <x v="2"/>
    <x v="0"/>
    <s v="South-Bob"/>
  </r>
  <r>
    <n v="1024"/>
    <d v="2023-08-10T00:00:00"/>
    <s v="Eve"/>
    <x v="2"/>
    <n v="4384.3900000000003"/>
    <x v="2"/>
    <s v="Food"/>
    <n v="1543.96"/>
    <n v="1558.87"/>
    <s v="Returning"/>
    <n v="0.28000000000000003"/>
    <x v="2"/>
    <x v="0"/>
    <s v="South-Eve"/>
  </r>
  <r>
    <n v="1093"/>
    <d v="2023-08-14T00:00:00"/>
    <s v="David"/>
    <x v="1"/>
    <n v="6885.89"/>
    <x v="32"/>
    <s v="Food"/>
    <n v="235.12"/>
    <n v="677.5"/>
    <s v="Returning"/>
    <n v="0.16"/>
    <x v="2"/>
    <x v="0"/>
    <s v="West-David"/>
  </r>
  <r>
    <n v="1046"/>
    <d v="2023-02-22T00:00:00"/>
    <s v="Alice"/>
    <x v="2"/>
    <n v="3391.32"/>
    <x v="7"/>
    <s v="Clothing"/>
    <n v="2551.56"/>
    <n v="2841.68"/>
    <s v="New"/>
    <n v="0.09"/>
    <x v="1"/>
    <x v="1"/>
    <s v="South-Alice"/>
  </r>
  <r>
    <n v="1053"/>
    <d v="2023-12-21T00:00:00"/>
    <s v="Bob"/>
    <x v="0"/>
    <n v="660.2"/>
    <x v="16"/>
    <s v="Furniture"/>
    <n v="2045"/>
    <n v="2217.5100000000002"/>
    <s v="Returning"/>
    <n v="0.08"/>
    <x v="2"/>
    <x v="0"/>
    <s v="North-Bob"/>
  </r>
  <r>
    <n v="1095"/>
    <d v="2023-12-08T00:00:00"/>
    <s v="Eve"/>
    <x v="3"/>
    <n v="3801.82"/>
    <x v="41"/>
    <s v="Clothing"/>
    <n v="3191.05"/>
    <n v="3555.35"/>
    <s v="New"/>
    <n v="0.28000000000000003"/>
    <x v="2"/>
    <x v="0"/>
    <s v="East-Eve"/>
  </r>
  <r>
    <n v="1099"/>
    <d v="2023-12-30T00:00:00"/>
    <s v="Bob"/>
    <x v="1"/>
    <n v="9450.0400000000009"/>
    <x v="6"/>
    <s v="Electronics"/>
    <n v="3124.87"/>
    <n v="3383.67"/>
    <s v="New"/>
    <n v="0.05"/>
    <x v="2"/>
    <x v="1"/>
    <s v="West-Bob"/>
  </r>
  <r>
    <n v="1060"/>
    <d v="2023-10-07T00:00:00"/>
    <s v="Alice"/>
    <x v="2"/>
    <n v="6453.17"/>
    <x v="18"/>
    <s v="Electronics"/>
    <n v="647.70000000000005"/>
    <n v="902.26"/>
    <s v="New"/>
    <n v="0.17"/>
    <x v="1"/>
    <x v="0"/>
    <s v="South-Alice"/>
  </r>
  <r>
    <n v="1097"/>
    <d v="2023-03-22T00:00:00"/>
    <s v="Eve"/>
    <x v="0"/>
    <n v="6747.64"/>
    <x v="32"/>
    <s v="Electronics"/>
    <n v="4885.9799999999996"/>
    <n v="4949.95"/>
    <s v="Returning"/>
    <n v="0.17"/>
    <x v="1"/>
    <x v="0"/>
    <s v="North-Eve"/>
  </r>
  <r>
    <n v="1063"/>
    <d v="2023-07-21T00:00:00"/>
    <s v="Bob"/>
    <x v="3"/>
    <n v="6359.59"/>
    <x v="5"/>
    <s v="Electronics"/>
    <n v="975.31"/>
    <n v="1176.17"/>
    <s v="New"/>
    <n v="0.22"/>
    <x v="1"/>
    <x v="1"/>
    <s v="East-Bob"/>
  </r>
  <r>
    <n v="1085"/>
    <d v="2023-06-07T00:00:00"/>
    <s v="Charlie"/>
    <x v="3"/>
    <n v="2070.02"/>
    <x v="31"/>
    <s v="Clothing"/>
    <n v="2254.11"/>
    <n v="2382.23"/>
    <s v="Returning"/>
    <n v="0.15"/>
    <x v="2"/>
    <x v="1"/>
    <s v="East-Charlie"/>
  </r>
  <r>
    <n v="1032"/>
    <d v="2023-04-30T00:00:00"/>
    <s v="Alice"/>
    <x v="1"/>
    <n v="4241.51"/>
    <x v="0"/>
    <s v="Electronics"/>
    <n v="2466.1799999999998"/>
    <n v="2483.87"/>
    <s v="Returning"/>
    <n v="0.08"/>
    <x v="0"/>
    <x v="0"/>
    <s v="West-Alice"/>
  </r>
  <r>
    <n v="1087"/>
    <d v="2023-02-28T00:00:00"/>
    <s v="Alice"/>
    <x v="1"/>
    <n v="7534.3"/>
    <x v="13"/>
    <s v="Furniture"/>
    <n v="4074.66"/>
    <n v="4261.1099999999997"/>
    <s v="Returning"/>
    <n v="0.05"/>
    <x v="2"/>
    <x v="1"/>
    <s v="West-Alice"/>
  </r>
  <r>
    <n v="1033"/>
    <d v="2023-08-03T00:00:00"/>
    <s v="Alice"/>
    <x v="1"/>
    <n v="1103.5899999999999"/>
    <x v="11"/>
    <s v="Food"/>
    <n v="541.19000000000005"/>
    <n v="595.20000000000005"/>
    <s v="Returning"/>
    <n v="0.19"/>
    <x v="2"/>
    <x v="0"/>
    <s v="West-Alice"/>
  </r>
  <r>
    <n v="1067"/>
    <d v="2023-05-08T00:00:00"/>
    <s v="Charlie"/>
    <x v="0"/>
    <n v="2850.74"/>
    <x v="5"/>
    <s v="Food"/>
    <n v="2171.79"/>
    <n v="2307.64"/>
    <s v="Returning"/>
    <n v="0.22"/>
    <x v="1"/>
    <x v="0"/>
    <s v="North-Charlie"/>
  </r>
  <r>
    <n v="1018"/>
    <d v="2023-08-12T00:00:00"/>
    <s v="Charlie"/>
    <x v="0"/>
    <n v="2835.56"/>
    <x v="14"/>
    <s v="Electronics"/>
    <n v="3161.09"/>
    <n v="3216.42"/>
    <s v="New"/>
    <n v="0.17"/>
    <x v="1"/>
    <x v="0"/>
    <s v="North-Charlie"/>
  </r>
  <r>
    <n v="1025"/>
    <d v="2023-07-28T00:00:00"/>
    <s v="David"/>
    <x v="1"/>
    <n v="4376.99"/>
    <x v="35"/>
    <s v="Electronics"/>
    <n v="1115.02"/>
    <n v="1174.48"/>
    <s v="New"/>
    <n v="0.22"/>
    <x v="2"/>
    <x v="0"/>
    <s v="West-David"/>
  </r>
  <r>
    <n v="1095"/>
    <d v="2023-04-25T00:00:00"/>
    <s v="Bob"/>
    <x v="2"/>
    <n v="9805.65"/>
    <x v="15"/>
    <s v="Electronics"/>
    <n v="3155.97"/>
    <n v="3263.49"/>
    <s v="Returning"/>
    <n v="0.04"/>
    <x v="2"/>
    <x v="0"/>
    <s v="South-Bob"/>
  </r>
  <r>
    <n v="1054"/>
    <d v="2023-07-28T00:00:00"/>
    <s v="David"/>
    <x v="3"/>
    <n v="768.28"/>
    <x v="46"/>
    <s v="Clothing"/>
    <n v="4622.1400000000003"/>
    <n v="5122.07"/>
    <s v="New"/>
    <n v="0.26"/>
    <x v="0"/>
    <x v="1"/>
    <s v="East-David"/>
  </r>
  <r>
    <n v="1058"/>
    <d v="2023-01-14T00:00:00"/>
    <s v="Bob"/>
    <x v="3"/>
    <n v="5235.1400000000003"/>
    <x v="32"/>
    <s v="Food"/>
    <n v="4987.71"/>
    <n v="4998.78"/>
    <s v="Returning"/>
    <n v="0.17"/>
    <x v="0"/>
    <x v="1"/>
    <s v="East-Bob"/>
  </r>
  <r>
    <n v="1067"/>
    <d v="2023-01-09T00:00:00"/>
    <s v="Charlie"/>
    <x v="0"/>
    <n v="1875.71"/>
    <x v="10"/>
    <s v="Electronics"/>
    <n v="210.63"/>
    <n v="533.57999999999902"/>
    <s v="New"/>
    <n v="0.04"/>
    <x v="1"/>
    <x v="0"/>
    <s v="North-Charlie"/>
  </r>
  <r>
    <n v="1046"/>
    <d v="2023-02-09T00:00:00"/>
    <s v="Charlie"/>
    <x v="3"/>
    <n v="9709.7000000000007"/>
    <x v="45"/>
    <s v="Furniture"/>
    <n v="1216.1600000000001"/>
    <n v="1295.3699999999999"/>
    <s v="New"/>
    <n v="0.14000000000000001"/>
    <x v="0"/>
    <x v="1"/>
    <s v="East-Charlie"/>
  </r>
  <r>
    <n v="1024"/>
    <d v="2023-08-25T00:00:00"/>
    <s v="David"/>
    <x v="2"/>
    <n v="1221.7"/>
    <x v="31"/>
    <s v="Electronics"/>
    <n v="1586.02"/>
    <n v="2047.13"/>
    <s v="New"/>
    <n v="0.25"/>
    <x v="0"/>
    <x v="1"/>
    <s v="South-David"/>
  </r>
  <r>
    <n v="1032"/>
    <d v="2023-10-08T00:00:00"/>
    <s v="Eve"/>
    <x v="3"/>
    <n v="4095.65"/>
    <x v="23"/>
    <s v="Food"/>
    <n v="2025.67"/>
    <n v="2081.5500000000002"/>
    <s v="New"/>
    <n v="0.27"/>
    <x v="1"/>
    <x v="0"/>
    <s v="East-Eve"/>
  </r>
  <r>
    <n v="1047"/>
    <d v="2023-12-25T00:00:00"/>
    <s v="David"/>
    <x v="0"/>
    <n v="7405.06"/>
    <x v="8"/>
    <s v="Electronics"/>
    <n v="1249.17"/>
    <n v="1727.15"/>
    <s v="New"/>
    <n v="0.08"/>
    <x v="0"/>
    <x v="1"/>
    <s v="North-David"/>
  </r>
  <r>
    <n v="1086"/>
    <d v="2023-07-20T00:00:00"/>
    <s v="Bob"/>
    <x v="0"/>
    <n v="7075.09"/>
    <x v="1"/>
    <s v="Food"/>
    <n v="1057.27"/>
    <n v="1366.62"/>
    <s v="New"/>
    <n v="0.21"/>
    <x v="2"/>
    <x v="1"/>
    <s v="North-Bob"/>
  </r>
  <r>
    <n v="1023"/>
    <d v="2023-09-03T00:00:00"/>
    <s v="David"/>
    <x v="2"/>
    <n v="4285.01"/>
    <x v="5"/>
    <s v="Electronics"/>
    <n v="4775.04"/>
    <n v="4785.66"/>
    <s v="New"/>
    <n v="0.03"/>
    <x v="0"/>
    <x v="0"/>
    <s v="South-David"/>
  </r>
  <r>
    <n v="1066"/>
    <d v="2023-10-05T00:00:00"/>
    <s v="Alice"/>
    <x v="2"/>
    <n v="3530.59"/>
    <x v="41"/>
    <s v="Furniture"/>
    <n v="4596.68"/>
    <n v="5044.74"/>
    <s v="New"/>
    <n v="0.01"/>
    <x v="1"/>
    <x v="0"/>
    <s v="South-Alice"/>
  </r>
  <r>
    <n v="1027"/>
    <d v="2023-08-23T00:00:00"/>
    <s v="Bob"/>
    <x v="3"/>
    <n v="4036.36"/>
    <x v="41"/>
    <s v="Electronics"/>
    <n v="282.61"/>
    <n v="548.25"/>
    <s v="New"/>
    <n v="0.17"/>
    <x v="2"/>
    <x v="0"/>
    <s v="East-Bob"/>
  </r>
  <r>
    <n v="1002"/>
    <d v="2023-01-04T00:00:00"/>
    <s v="Bob"/>
    <x v="3"/>
    <n v="2716.34"/>
    <x v="1"/>
    <s v="Furniture"/>
    <n v="1727.12"/>
    <n v="1865.83"/>
    <s v="New"/>
    <n v="0.21"/>
    <x v="0"/>
    <x v="0"/>
    <s v="East-Bob"/>
  </r>
  <r>
    <n v="1090"/>
    <d v="2023-06-03T00:00:00"/>
    <s v="Eve"/>
    <x v="0"/>
    <n v="2132.8000000000002"/>
    <x v="36"/>
    <s v="Furniture"/>
    <n v="2055.4899999999998"/>
    <n v="2441.46"/>
    <s v="New"/>
    <n v="0.24"/>
    <x v="2"/>
    <x v="0"/>
    <s v="North-Eve"/>
  </r>
  <r>
    <n v="1017"/>
    <d v="2023-01-29T00:00:00"/>
    <s v="Charlie"/>
    <x v="2"/>
    <n v="4882.09"/>
    <x v="12"/>
    <s v="Electronics"/>
    <n v="1233.1199999999999"/>
    <n v="1697.1899999999901"/>
    <s v="New"/>
    <n v="0.1"/>
    <x v="2"/>
    <x v="0"/>
    <s v="South-Charlie"/>
  </r>
  <r>
    <n v="1033"/>
    <d v="2023-04-19T00:00:00"/>
    <s v="Bob"/>
    <x v="2"/>
    <n v="2758.48"/>
    <x v="47"/>
    <s v="Furniture"/>
    <n v="3162.92"/>
    <n v="3409.93"/>
    <s v="New"/>
    <n v="0"/>
    <x v="0"/>
    <x v="0"/>
    <s v="South-Bob"/>
  </r>
  <r>
    <n v="1009"/>
    <d v="2023-04-08T00:00:00"/>
    <s v="Charlie"/>
    <x v="2"/>
    <n v="2945.87"/>
    <x v="5"/>
    <s v="Clothing"/>
    <n v="3219.88"/>
    <n v="3384.5"/>
    <s v="Returning"/>
    <n v="0.14000000000000001"/>
    <x v="0"/>
    <x v="1"/>
    <s v="South-Charlie"/>
  </r>
  <r>
    <n v="1043"/>
    <d v="2023-08-03T00:00:00"/>
    <s v="David"/>
    <x v="3"/>
    <n v="6601.89"/>
    <x v="33"/>
    <s v="Electronics"/>
    <n v="4260"/>
    <n v="4656.58"/>
    <s v="New"/>
    <n v="0"/>
    <x v="1"/>
    <x v="0"/>
    <s v="East-David"/>
  </r>
  <r>
    <n v="1048"/>
    <d v="2023-10-20T00:00:00"/>
    <s v="Alice"/>
    <x v="2"/>
    <n v="9688.52"/>
    <x v="32"/>
    <s v="Electronics"/>
    <n v="3717.3"/>
    <n v="4061.37"/>
    <s v="New"/>
    <n v="0.03"/>
    <x v="1"/>
    <x v="1"/>
    <s v="South-Alice"/>
  </r>
  <r>
    <n v="1039"/>
    <d v="2023-03-16T00:00:00"/>
    <s v="Eve"/>
    <x v="0"/>
    <n v="6076.01"/>
    <x v="22"/>
    <s v="Furniture"/>
    <n v="2735.74"/>
    <n v="3181.22999999999"/>
    <s v="New"/>
    <n v="0.1"/>
    <x v="2"/>
    <x v="1"/>
    <s v="North-Eve"/>
  </r>
  <r>
    <n v="1093"/>
    <d v="2023-11-22T00:00:00"/>
    <s v="Charlie"/>
    <x v="0"/>
    <n v="862.1"/>
    <x v="33"/>
    <s v="Furniture"/>
    <n v="3285.25"/>
    <n v="3634.58"/>
    <s v="New"/>
    <n v="0.13"/>
    <x v="1"/>
    <x v="0"/>
    <s v="North-Charlie"/>
  </r>
  <r>
    <n v="1042"/>
    <d v="2023-05-26T00:00:00"/>
    <s v="Bob"/>
    <x v="3"/>
    <n v="848.28"/>
    <x v="21"/>
    <s v="Electronics"/>
    <n v="1406.24"/>
    <n v="1535.57"/>
    <s v="New"/>
    <n v="0.08"/>
    <x v="2"/>
    <x v="1"/>
    <s v="East-Bob"/>
  </r>
  <r>
    <n v="1026"/>
    <d v="2023-05-08T00:00:00"/>
    <s v="Charlie"/>
    <x v="1"/>
    <n v="9519.09"/>
    <x v="46"/>
    <s v="Clothing"/>
    <n v="2985.63"/>
    <n v="3452.14"/>
    <s v="New"/>
    <n v="0.17"/>
    <x v="2"/>
    <x v="1"/>
    <s v="West-Charlie"/>
  </r>
  <r>
    <n v="1099"/>
    <d v="2023-12-07T00:00:00"/>
    <s v="Bob"/>
    <x v="3"/>
    <n v="3043.18"/>
    <x v="33"/>
    <s v="Furniture"/>
    <n v="2471.67"/>
    <n v="2533.04"/>
    <s v="Returning"/>
    <n v="0.02"/>
    <x v="1"/>
    <x v="1"/>
    <s v="East-Bob"/>
  </r>
  <r>
    <n v="1050"/>
    <d v="2023-02-11T00:00:00"/>
    <s v="Charlie"/>
    <x v="1"/>
    <n v="1011.46"/>
    <x v="10"/>
    <s v="Furniture"/>
    <n v="710.06"/>
    <n v="851.349999999999"/>
    <s v="Returning"/>
    <n v="0.04"/>
    <x v="1"/>
    <x v="0"/>
    <s v="West-Charlie"/>
  </r>
  <r>
    <n v="1025"/>
    <d v="2023-12-22T00:00:00"/>
    <s v="Bob"/>
    <x v="2"/>
    <n v="6030.54"/>
    <x v="23"/>
    <s v="Food"/>
    <n v="1250.5899999999999"/>
    <n v="1515.48999999999"/>
    <s v="Returning"/>
    <n v="0.21"/>
    <x v="1"/>
    <x v="1"/>
    <s v="South-Bob"/>
  </r>
  <r>
    <n v="1024"/>
    <d v="2023-02-10T00:00:00"/>
    <s v="David"/>
    <x v="3"/>
    <n v="6274.12"/>
    <x v="4"/>
    <s v="Clothing"/>
    <n v="1493.88"/>
    <n v="1781.09"/>
    <s v="New"/>
    <n v="0.04"/>
    <x v="0"/>
    <x v="1"/>
    <s v="East-David"/>
  </r>
  <r>
    <n v="1013"/>
    <d v="2023-02-03T00:00:00"/>
    <s v="Bob"/>
    <x v="0"/>
    <n v="6520.2"/>
    <x v="31"/>
    <s v="Clothing"/>
    <n v="4625.33"/>
    <n v="4642.83"/>
    <s v="New"/>
    <n v="0.19"/>
    <x v="2"/>
    <x v="0"/>
    <s v="North-Bob"/>
  </r>
  <r>
    <n v="1060"/>
    <d v="2023-01-17T00:00:00"/>
    <s v="Bob"/>
    <x v="2"/>
    <n v="2747.28"/>
    <x v="45"/>
    <s v="Electronics"/>
    <n v="1190.4100000000001"/>
    <n v="1582.89"/>
    <s v="New"/>
    <n v="0.02"/>
    <x v="2"/>
    <x v="1"/>
    <s v="South-Bob"/>
  </r>
  <r>
    <n v="1007"/>
    <d v="2023-06-14T00:00:00"/>
    <s v="Alice"/>
    <x v="0"/>
    <n v="249.6"/>
    <x v="14"/>
    <s v="Clothing"/>
    <n v="1481.76"/>
    <n v="1668.95"/>
    <s v="Returning"/>
    <n v="0.12"/>
    <x v="2"/>
    <x v="1"/>
    <s v="North-Alice"/>
  </r>
  <r>
    <n v="1057"/>
    <d v="2023-06-02T00:00:00"/>
    <s v="Bob"/>
    <x v="2"/>
    <n v="9653.65"/>
    <x v="26"/>
    <s v="Electronics"/>
    <n v="1878.3"/>
    <n v="2087.4499999999998"/>
    <s v="New"/>
    <n v="0.05"/>
    <x v="1"/>
    <x v="1"/>
    <s v="South-Bob"/>
  </r>
  <r>
    <n v="1036"/>
    <d v="2023-03-17T00:00:00"/>
    <s v="Alice"/>
    <x v="3"/>
    <n v="2583.84"/>
    <x v="18"/>
    <s v="Food"/>
    <n v="3335.53"/>
    <n v="3742.12"/>
    <s v="New"/>
    <n v="0.03"/>
    <x v="1"/>
    <x v="1"/>
    <s v="East-Alice"/>
  </r>
  <r>
    <n v="1045"/>
    <d v="2023-03-28T00:00:00"/>
    <s v="Eve"/>
    <x v="1"/>
    <n v="6792.66"/>
    <x v="28"/>
    <s v="Clothing"/>
    <n v="635.28"/>
    <n v="831.13"/>
    <s v="Returning"/>
    <n v="0.17"/>
    <x v="1"/>
    <x v="1"/>
    <s v="West-Eve"/>
  </r>
  <r>
    <n v="1020"/>
    <d v="2023-04-27T00:00:00"/>
    <s v="Alice"/>
    <x v="2"/>
    <n v="7095.64"/>
    <x v="19"/>
    <s v="Furniture"/>
    <n v="4772.03"/>
    <n v="4805.17"/>
    <s v="Returning"/>
    <n v="0.28000000000000003"/>
    <x v="1"/>
    <x v="0"/>
    <s v="South-Alice"/>
  </r>
  <r>
    <n v="1065"/>
    <d v="2023-12-28T00:00:00"/>
    <s v="David"/>
    <x v="1"/>
    <n v="6139.07"/>
    <x v="0"/>
    <s v="Food"/>
    <n v="4334.58"/>
    <n v="4431.04"/>
    <s v="New"/>
    <n v="0.02"/>
    <x v="1"/>
    <x v="1"/>
    <s v="West-David"/>
  </r>
  <r>
    <n v="1008"/>
    <d v="2023-12-08T00:00:00"/>
    <s v="Alice"/>
    <x v="2"/>
    <n v="3197.78"/>
    <x v="37"/>
    <s v="Electronics"/>
    <n v="2907.22"/>
    <n v="3385.6099999999901"/>
    <s v="New"/>
    <n v="0.13"/>
    <x v="0"/>
    <x v="0"/>
    <s v="South-Alice"/>
  </r>
  <r>
    <n v="1016"/>
    <d v="2023-01-27T00:00:00"/>
    <s v="Eve"/>
    <x v="0"/>
    <n v="2783.85"/>
    <x v="36"/>
    <s v="Food"/>
    <n v="3386.49"/>
    <n v="3430.99"/>
    <s v="New"/>
    <n v="0.21"/>
    <x v="1"/>
    <x v="1"/>
    <s v="North-Eve"/>
  </r>
  <r>
    <n v="1014"/>
    <d v="2023-11-09T00:00:00"/>
    <s v="David"/>
    <x v="0"/>
    <n v="6016.92"/>
    <x v="14"/>
    <s v="Electronics"/>
    <n v="132.47"/>
    <n v="316.39"/>
    <s v="New"/>
    <n v="0.14000000000000001"/>
    <x v="2"/>
    <x v="0"/>
    <s v="North-David"/>
  </r>
  <r>
    <n v="1076"/>
    <d v="2023-10-14T00:00:00"/>
    <s v="Charlie"/>
    <x v="2"/>
    <n v="8674.35"/>
    <x v="18"/>
    <s v="Food"/>
    <n v="1727.78"/>
    <n v="1984.34"/>
    <s v="Returning"/>
    <n v="0.24"/>
    <x v="1"/>
    <x v="0"/>
    <s v="South-Charlie"/>
  </r>
  <r>
    <n v="1087"/>
    <d v="2023-05-14T00:00:00"/>
    <s v="Charlie"/>
    <x v="1"/>
    <n v="9472.66"/>
    <x v="15"/>
    <s v="Electronics"/>
    <n v="3988.52"/>
    <n v="4240.2299999999996"/>
    <s v="New"/>
    <n v="0.05"/>
    <x v="2"/>
    <x v="0"/>
    <s v="West-Charlie"/>
  </r>
  <r>
    <n v="1015"/>
    <d v="2023-08-07T00:00:00"/>
    <s v="Alice"/>
    <x v="3"/>
    <n v="1148.47"/>
    <x v="12"/>
    <s v="Clothing"/>
    <n v="433.54"/>
    <n v="445.48"/>
    <s v="New"/>
    <n v="0.28999999999999998"/>
    <x v="1"/>
    <x v="1"/>
    <s v="East-Alice"/>
  </r>
  <r>
    <n v="1092"/>
    <d v="2023-06-17T00:00:00"/>
    <s v="Alice"/>
    <x v="3"/>
    <n v="1632.8"/>
    <x v="20"/>
    <s v="Furniture"/>
    <n v="1447.45"/>
    <n v="1703.02"/>
    <s v="Returning"/>
    <n v="0.12"/>
    <x v="1"/>
    <x v="1"/>
    <s v="East-Alice"/>
  </r>
  <r>
    <n v="1098"/>
    <d v="2023-04-08T00:00:00"/>
    <s v="Eve"/>
    <x v="0"/>
    <n v="9452.89"/>
    <x v="47"/>
    <s v="Electronics"/>
    <n v="2947.22"/>
    <n v="3145.27"/>
    <s v="New"/>
    <n v="0.1"/>
    <x v="2"/>
    <x v="1"/>
    <s v="North-Eve"/>
  </r>
  <r>
    <n v="1066"/>
    <d v="2023-09-25T00:00:00"/>
    <s v="Eve"/>
    <x v="3"/>
    <n v="7391.7"/>
    <x v="20"/>
    <s v="Food"/>
    <n v="1319.24"/>
    <n v="1805.56"/>
    <s v="New"/>
    <n v="0.26"/>
    <x v="2"/>
    <x v="1"/>
    <s v="East-Eve"/>
  </r>
  <r>
    <n v="1032"/>
    <d v="2023-08-25T00:00:00"/>
    <s v="Bob"/>
    <x v="0"/>
    <n v="8841.64"/>
    <x v="18"/>
    <s v="Electronics"/>
    <n v="4673.1899999999996"/>
    <n v="4761.1799999999903"/>
    <s v="Returning"/>
    <n v="0.17"/>
    <x v="2"/>
    <x v="1"/>
    <s v="North-Bob"/>
  </r>
  <r>
    <n v="1087"/>
    <d v="2023-11-05T00:00:00"/>
    <s v="Eve"/>
    <x v="3"/>
    <n v="2106.06"/>
    <x v="2"/>
    <s v="Electronics"/>
    <n v="698.74"/>
    <n v="882.28"/>
    <s v="Returning"/>
    <n v="0.15"/>
    <x v="2"/>
    <x v="0"/>
    <s v="East-Eve"/>
  </r>
  <r>
    <n v="1063"/>
    <d v="2023-06-22T00:00:00"/>
    <s v="Bob"/>
    <x v="2"/>
    <n v="5917.1"/>
    <x v="44"/>
    <s v="Electronics"/>
    <n v="3997.1"/>
    <n v="4212.6499999999996"/>
    <s v="New"/>
    <n v="0.22"/>
    <x v="0"/>
    <x v="0"/>
    <s v="South-Bob"/>
  </r>
  <r>
    <n v="1086"/>
    <d v="2023-07-09T00:00:00"/>
    <s v="David"/>
    <x v="0"/>
    <n v="7041.28"/>
    <x v="40"/>
    <s v="Food"/>
    <n v="2564.35"/>
    <n v="2765.79"/>
    <s v="Returning"/>
    <n v="0.17"/>
    <x v="2"/>
    <x v="0"/>
    <s v="North-David"/>
  </r>
  <r>
    <n v="1051"/>
    <d v="2023-05-02T00:00:00"/>
    <s v="Alice"/>
    <x v="0"/>
    <n v="6833.11"/>
    <x v="24"/>
    <s v="Furniture"/>
    <n v="3764.14"/>
    <n v="4100.3999999999996"/>
    <s v="Returning"/>
    <n v="0.05"/>
    <x v="1"/>
    <x v="1"/>
    <s v="North-Alice"/>
  </r>
  <r>
    <n v="1025"/>
    <d v="2023-02-15T00:00:00"/>
    <s v="David"/>
    <x v="2"/>
    <n v="4140.7"/>
    <x v="27"/>
    <s v="Clothing"/>
    <n v="1588.04"/>
    <n v="1703.6399999999901"/>
    <s v="New"/>
    <n v="0.2"/>
    <x v="1"/>
    <x v="1"/>
    <s v="South-David"/>
  </r>
  <r>
    <n v="1058"/>
    <d v="2023-03-05T00:00:00"/>
    <s v="Eve"/>
    <x v="0"/>
    <n v="252.41"/>
    <x v="10"/>
    <s v="Furniture"/>
    <n v="2596.7199999999998"/>
    <n v="2715.0499999999902"/>
    <s v="Returning"/>
    <n v="0.04"/>
    <x v="0"/>
    <x v="0"/>
    <s v="North-Eve"/>
  </r>
  <r>
    <n v="1063"/>
    <d v="2023-05-10T00:00:00"/>
    <s v="David"/>
    <x v="3"/>
    <n v="5870.97"/>
    <x v="20"/>
    <s v="Electronics"/>
    <n v="4291.33"/>
    <n v="4658.6400000000003"/>
    <s v="New"/>
    <n v="0.24"/>
    <x v="2"/>
    <x v="1"/>
    <s v="East-David"/>
  </r>
  <r>
    <n v="1062"/>
    <d v="2023-11-06T00:00:00"/>
    <s v="David"/>
    <x v="3"/>
    <n v="2605.71"/>
    <x v="44"/>
    <s v="Food"/>
    <n v="2361.0500000000002"/>
    <n v="2616.19"/>
    <s v="New"/>
    <n v="0.3"/>
    <x v="1"/>
    <x v="1"/>
    <s v="East-David"/>
  </r>
  <r>
    <n v="1022"/>
    <d v="2023-12-29T00:00:00"/>
    <s v="David"/>
    <x v="0"/>
    <n v="4557.5200000000004"/>
    <x v="15"/>
    <s v="Furniture"/>
    <n v="1830.61"/>
    <n v="2044.04"/>
    <s v="New"/>
    <n v="0.11"/>
    <x v="0"/>
    <x v="0"/>
    <s v="North-David"/>
  </r>
  <r>
    <n v="1058"/>
    <d v="2023-07-12T00:00:00"/>
    <s v="Eve"/>
    <x v="3"/>
    <n v="9580.0499999999993"/>
    <x v="28"/>
    <s v="Electronics"/>
    <n v="2703.97"/>
    <n v="2796.8799999999901"/>
    <s v="New"/>
    <n v="0.13"/>
    <x v="1"/>
    <x v="0"/>
    <s v="East-Eve"/>
  </r>
  <r>
    <n v="1058"/>
    <d v="2023-11-03T00:00:00"/>
    <s v="David"/>
    <x v="1"/>
    <n v="4050.45"/>
    <x v="31"/>
    <s v="Clothing"/>
    <n v="3600.95"/>
    <n v="3702.8399999999901"/>
    <s v="Returning"/>
    <n v="0.01"/>
    <x v="0"/>
    <x v="1"/>
    <s v="West-David"/>
  </r>
  <r>
    <n v="1086"/>
    <d v="2023-06-30T00:00:00"/>
    <s v="Bob"/>
    <x v="0"/>
    <n v="8414.0400000000009"/>
    <x v="7"/>
    <s v="Clothing"/>
    <n v="2245.64"/>
    <n v="2260.81"/>
    <s v="New"/>
    <n v="0"/>
    <x v="0"/>
    <x v="1"/>
    <s v="North-Bob"/>
  </r>
  <r>
    <n v="1049"/>
    <d v="2023-10-19T00:00:00"/>
    <s v="Eve"/>
    <x v="2"/>
    <n v="1966.55"/>
    <x v="2"/>
    <s v="Clothing"/>
    <n v="4697.4399999999996"/>
    <n v="4752.24"/>
    <s v="New"/>
    <n v="0.28000000000000003"/>
    <x v="2"/>
    <x v="0"/>
    <s v="South-Eve"/>
  </r>
  <r>
    <n v="1052"/>
    <d v="2023-10-09T00:00:00"/>
    <s v="David"/>
    <x v="1"/>
    <n v="6757.36"/>
    <x v="36"/>
    <s v="Electronics"/>
    <n v="1509.98"/>
    <n v="1792.83"/>
    <s v="New"/>
    <n v="0.04"/>
    <x v="0"/>
    <x v="1"/>
    <s v="West-David"/>
  </r>
  <r>
    <n v="1042"/>
    <d v="2023-01-29T00:00:00"/>
    <s v="Eve"/>
    <x v="0"/>
    <n v="9772.3700000000008"/>
    <x v="44"/>
    <s v="Food"/>
    <n v="2403.54"/>
    <n v="2850.56"/>
    <s v="New"/>
    <n v="0.13"/>
    <x v="1"/>
    <x v="0"/>
    <s v="North-Eve"/>
  </r>
  <r>
    <n v="1070"/>
    <d v="2023-05-29T00:00:00"/>
    <s v="Charlie"/>
    <x v="2"/>
    <n v="1108.74"/>
    <x v="28"/>
    <s v="Furniture"/>
    <n v="3796.79"/>
    <n v="3947.5"/>
    <s v="Returning"/>
    <n v="0.24"/>
    <x v="1"/>
    <x v="0"/>
    <s v="South-Charlie"/>
  </r>
  <r>
    <n v="1015"/>
    <d v="2023-09-24T00:00:00"/>
    <s v="Bob"/>
    <x v="3"/>
    <n v="182.37"/>
    <x v="22"/>
    <s v="Clothing"/>
    <n v="3461.15"/>
    <n v="3631.75"/>
    <s v="Returning"/>
    <n v="0.27"/>
    <x v="2"/>
    <x v="0"/>
    <s v="East-Bob"/>
  </r>
  <r>
    <n v="1054"/>
    <d v="2023-10-23T00:00:00"/>
    <s v="David"/>
    <x v="2"/>
    <n v="4392.47"/>
    <x v="10"/>
    <s v="Electronics"/>
    <n v="4325.0200000000004"/>
    <n v="4391.67"/>
    <s v="Returning"/>
    <n v="0.16"/>
    <x v="2"/>
    <x v="1"/>
    <s v="South-David"/>
  </r>
  <r>
    <n v="1060"/>
    <d v="2023-01-11T00:00:00"/>
    <s v="Charlie"/>
    <x v="1"/>
    <n v="1016.99"/>
    <x v="24"/>
    <s v="Electronics"/>
    <n v="4984.21"/>
    <n v="5184.6400000000003"/>
    <s v="New"/>
    <n v="0.17"/>
    <x v="0"/>
    <x v="0"/>
    <s v="West-Charlie"/>
  </r>
  <r>
    <n v="1097"/>
    <d v="2023-06-13T00:00:00"/>
    <s v="Charlie"/>
    <x v="3"/>
    <n v="7509.01"/>
    <x v="15"/>
    <s v="Furniture"/>
    <n v="2162.9499999999998"/>
    <n v="2191.1899999999901"/>
    <s v="Returning"/>
    <n v="0.2"/>
    <x v="2"/>
    <x v="0"/>
    <s v="East-Charlie"/>
  </r>
  <r>
    <n v="1008"/>
    <d v="2023-04-23T00:00:00"/>
    <s v="Eve"/>
    <x v="0"/>
    <n v="9154.0300000000007"/>
    <x v="22"/>
    <s v="Clothing"/>
    <n v="600.20000000000005"/>
    <n v="1059.82"/>
    <s v="Returning"/>
    <n v="0.28999999999999998"/>
    <x v="1"/>
    <x v="1"/>
    <s v="North-Eve"/>
  </r>
  <r>
    <n v="1053"/>
    <d v="2023-07-06T00:00:00"/>
    <s v="Charlie"/>
    <x v="3"/>
    <n v="4396.8100000000004"/>
    <x v="23"/>
    <s v="Electronics"/>
    <n v="200.56"/>
    <n v="540.38"/>
    <s v="New"/>
    <n v="0.18"/>
    <x v="1"/>
    <x v="0"/>
    <s v="East-Charlie"/>
  </r>
  <r>
    <n v="1060"/>
    <d v="2023-10-22T00:00:00"/>
    <s v="Bob"/>
    <x v="0"/>
    <n v="2661.25"/>
    <x v="23"/>
    <s v="Furniture"/>
    <n v="3648.04"/>
    <n v="4143.51"/>
    <s v="Returning"/>
    <n v="0.17"/>
    <x v="2"/>
    <x v="1"/>
    <s v="North-Bob"/>
  </r>
  <r>
    <n v="1005"/>
    <d v="2023-08-20T00:00:00"/>
    <s v="Bob"/>
    <x v="0"/>
    <n v="4400.59"/>
    <x v="9"/>
    <s v="Food"/>
    <n v="4376.37"/>
    <n v="4818.95"/>
    <s v="New"/>
    <n v="0"/>
    <x v="2"/>
    <x v="1"/>
    <s v="North-Bob"/>
  </r>
  <r>
    <n v="1068"/>
    <d v="2023-08-15T00:00:00"/>
    <s v="Alice"/>
    <x v="2"/>
    <n v="7262.13"/>
    <x v="9"/>
    <s v="Food"/>
    <n v="1142.53"/>
    <n v="1384.3"/>
    <s v="Returning"/>
    <n v="0.02"/>
    <x v="2"/>
    <x v="1"/>
    <s v="South-Alice"/>
  </r>
  <r>
    <n v="1006"/>
    <d v="2023-11-06T00:00:00"/>
    <s v="Bob"/>
    <x v="2"/>
    <n v="189.64"/>
    <x v="33"/>
    <s v="Food"/>
    <n v="834.32"/>
    <n v="1098.97"/>
    <s v="Returning"/>
    <n v="0.17"/>
    <x v="0"/>
    <x v="0"/>
    <s v="South-Bob"/>
  </r>
  <r>
    <n v="1096"/>
    <d v="2023-04-08T00:00:00"/>
    <s v="Charlie"/>
    <x v="2"/>
    <n v="5935.59"/>
    <x v="27"/>
    <s v="Clothing"/>
    <n v="357.92"/>
    <n v="461.3"/>
    <s v="Returning"/>
    <n v="0.28000000000000003"/>
    <x v="0"/>
    <x v="0"/>
    <s v="South-Charlie"/>
  </r>
  <r>
    <n v="1094"/>
    <d v="2023-02-24T00:00:00"/>
    <s v="Bob"/>
    <x v="1"/>
    <n v="6171.59"/>
    <x v="48"/>
    <s v="Furniture"/>
    <n v="4122.38"/>
    <n v="4358.78"/>
    <s v="Returning"/>
    <n v="0.26"/>
    <x v="1"/>
    <x v="1"/>
    <s v="West-Bob"/>
  </r>
  <r>
    <n v="1047"/>
    <d v="2023-04-21T00:00:00"/>
    <s v="Eve"/>
    <x v="1"/>
    <n v="6413.11"/>
    <x v="1"/>
    <s v="Furniture"/>
    <n v="1591.34"/>
    <n v="2043.82"/>
    <s v="New"/>
    <n v="0.28999999999999998"/>
    <x v="0"/>
    <x v="1"/>
    <s v="West-Eve"/>
  </r>
  <r>
    <n v="1099"/>
    <d v="2023-06-01T00:00:00"/>
    <s v="Alice"/>
    <x v="2"/>
    <n v="2496.02"/>
    <x v="39"/>
    <s v="Electronics"/>
    <n v="2038.4"/>
    <n v="2073.3200000000002"/>
    <s v="New"/>
    <n v="0.16"/>
    <x v="0"/>
    <x v="1"/>
    <s v="South-Alice"/>
  </r>
  <r>
    <n v="1055"/>
    <d v="2023-09-03T00:00:00"/>
    <s v="Charlie"/>
    <x v="1"/>
    <n v="7169.12"/>
    <x v="26"/>
    <s v="Electronics"/>
    <n v="2538.61"/>
    <n v="2971.75"/>
    <s v="Returning"/>
    <n v="0.24"/>
    <x v="0"/>
    <x v="0"/>
    <s v="West-Charlie"/>
  </r>
  <r>
    <n v="1040"/>
    <d v="2023-03-10T00:00:00"/>
    <s v="Alice"/>
    <x v="3"/>
    <n v="1004.78"/>
    <x v="31"/>
    <s v="Electronics"/>
    <n v="4205.29"/>
    <n v="4382.3500000000004"/>
    <s v="New"/>
    <n v="0.25"/>
    <x v="0"/>
    <x v="1"/>
    <s v="East-Alice"/>
  </r>
  <r>
    <n v="1052"/>
    <d v="2023-11-08T00:00:00"/>
    <s v="Charlie"/>
    <x v="3"/>
    <n v="2072.7800000000002"/>
    <x v="0"/>
    <s v="Furniture"/>
    <n v="3271.62"/>
    <n v="3722.38"/>
    <s v="Returning"/>
    <n v="0.19"/>
    <x v="1"/>
    <x v="1"/>
    <s v="East-Charlie"/>
  </r>
  <r>
    <n v="1016"/>
    <d v="2023-10-16T00:00:00"/>
    <s v="Eve"/>
    <x v="1"/>
    <n v="8786.9500000000007"/>
    <x v="23"/>
    <s v="Electronics"/>
    <n v="3094.57"/>
    <n v="3565.6"/>
    <s v="Returning"/>
    <n v="0.1"/>
    <x v="2"/>
    <x v="1"/>
    <s v="West-Eve"/>
  </r>
  <r>
    <n v="1013"/>
    <d v="2023-09-07T00:00:00"/>
    <s v="Alice"/>
    <x v="1"/>
    <n v="7413.36"/>
    <x v="25"/>
    <s v="Furniture"/>
    <n v="919.58"/>
    <n v="1258.3"/>
    <s v="Returning"/>
    <n v="0.14000000000000001"/>
    <x v="1"/>
    <x v="0"/>
    <s v="West-Alice"/>
  </r>
  <r>
    <n v="1030"/>
    <d v="2023-02-05T00:00:00"/>
    <s v="David"/>
    <x v="3"/>
    <n v="236.08"/>
    <x v="37"/>
    <s v="Furniture"/>
    <n v="2590.29"/>
    <n v="2925.86"/>
    <s v="Returning"/>
    <n v="0.26"/>
    <x v="0"/>
    <x v="1"/>
    <s v="East-David"/>
  </r>
  <r>
    <n v="1019"/>
    <d v="2023-08-27T00:00:00"/>
    <s v="Charlie"/>
    <x v="0"/>
    <n v="2558.92"/>
    <x v="0"/>
    <s v="Food"/>
    <n v="3591.14"/>
    <n v="3822.99"/>
    <s v="Returning"/>
    <n v="0.09"/>
    <x v="2"/>
    <x v="0"/>
    <s v="North-Charlie"/>
  </r>
  <r>
    <n v="1017"/>
    <d v="2023-05-28T00:00:00"/>
    <s v="David"/>
    <x v="3"/>
    <n v="2222.62"/>
    <x v="22"/>
    <s v="Electronics"/>
    <n v="4867.6400000000003"/>
    <n v="5287.05"/>
    <s v="Returning"/>
    <n v="0.28000000000000003"/>
    <x v="2"/>
    <x v="0"/>
    <s v="East-David"/>
  </r>
  <r>
    <n v="1063"/>
    <d v="2023-08-15T00:00:00"/>
    <s v="Alice"/>
    <x v="3"/>
    <n v="2780.98"/>
    <x v="42"/>
    <s v="Food"/>
    <n v="1046.96"/>
    <n v="1528.15"/>
    <s v="New"/>
    <n v="7.0000000000000007E-2"/>
    <x v="2"/>
    <x v="1"/>
    <s v="East-Alice"/>
  </r>
  <r>
    <n v="1019"/>
    <d v="2023-09-01T00:00:00"/>
    <s v="David"/>
    <x v="1"/>
    <n v="2550.84"/>
    <x v="25"/>
    <s v="Clothing"/>
    <n v="97.24"/>
    <n v="487.03"/>
    <s v="New"/>
    <n v="0.22"/>
    <x v="1"/>
    <x v="1"/>
    <s v="West-David"/>
  </r>
  <r>
    <n v="1092"/>
    <d v="2023-12-03T00:00:00"/>
    <s v="David"/>
    <x v="3"/>
    <n v="719.01"/>
    <x v="32"/>
    <s v="Clothing"/>
    <n v="422.74"/>
    <n v="737.49"/>
    <s v="Returning"/>
    <n v="0.19"/>
    <x v="2"/>
    <x v="1"/>
    <s v="East-David"/>
  </r>
  <r>
    <n v="1058"/>
    <d v="2023-12-31T00:00:00"/>
    <s v="Alice"/>
    <x v="1"/>
    <n v="4643.51"/>
    <x v="16"/>
    <s v="Clothing"/>
    <n v="1910.47"/>
    <n v="2217.8000000000002"/>
    <s v="New"/>
    <n v="0.22"/>
    <x v="1"/>
    <x v="0"/>
    <s v="West-Alice"/>
  </r>
  <r>
    <n v="1055"/>
    <d v="2023-07-20T00:00:00"/>
    <s v="Eve"/>
    <x v="1"/>
    <n v="7354.06"/>
    <x v="8"/>
    <s v="Furniture"/>
    <n v="4111.7"/>
    <n v="4537.9399999999996"/>
    <s v="Returning"/>
    <n v="0.13"/>
    <x v="1"/>
    <x v="0"/>
    <s v="West-Eve"/>
  </r>
  <r>
    <n v="1090"/>
    <d v="2023-06-03T00:00:00"/>
    <s v="David"/>
    <x v="2"/>
    <n v="6106.64"/>
    <x v="20"/>
    <s v="Furniture"/>
    <n v="85.35"/>
    <n v="360.539999999999"/>
    <s v="New"/>
    <n v="0.28000000000000003"/>
    <x v="0"/>
    <x v="0"/>
    <s v="South-David"/>
  </r>
  <r>
    <n v="1090"/>
    <d v="2023-03-14T00:00:00"/>
    <s v="David"/>
    <x v="3"/>
    <n v="6761.43"/>
    <x v="20"/>
    <s v="Furniture"/>
    <n v="2310.8200000000002"/>
    <n v="2714.71"/>
    <s v="New"/>
    <n v="0.19"/>
    <x v="0"/>
    <x v="1"/>
    <s v="East-David"/>
  </r>
  <r>
    <n v="1062"/>
    <d v="2023-07-20T00:00:00"/>
    <s v="Eve"/>
    <x v="0"/>
    <n v="903.38"/>
    <x v="10"/>
    <s v="Electronics"/>
    <n v="1679.69"/>
    <n v="1939.04"/>
    <s v="New"/>
    <n v="0.09"/>
    <x v="2"/>
    <x v="0"/>
    <s v="North-Eve"/>
  </r>
  <r>
    <n v="1023"/>
    <d v="2023-10-23T00:00:00"/>
    <s v="David"/>
    <x v="2"/>
    <n v="9519.76"/>
    <x v="31"/>
    <s v="Food"/>
    <n v="309.77999999999997"/>
    <n v="350.38"/>
    <s v="Returning"/>
    <n v="0.19"/>
    <x v="2"/>
    <x v="1"/>
    <s v="South-David"/>
  </r>
  <r>
    <n v="1009"/>
    <d v="2023-01-17T00:00:00"/>
    <s v="David"/>
    <x v="1"/>
    <n v="8401.07"/>
    <x v="26"/>
    <s v="Furniture"/>
    <n v="2278.67"/>
    <n v="2476.8000000000002"/>
    <s v="New"/>
    <n v="0.09"/>
    <x v="0"/>
    <x v="1"/>
    <s v="West-David"/>
  </r>
  <r>
    <n v="1012"/>
    <d v="2023-05-09T00:00:00"/>
    <s v="David"/>
    <x v="1"/>
    <n v="8070.39"/>
    <x v="4"/>
    <s v="Food"/>
    <n v="1311.01"/>
    <n v="1538.79"/>
    <s v="Returning"/>
    <n v="0.09"/>
    <x v="1"/>
    <x v="1"/>
    <s v="West-David"/>
  </r>
  <r>
    <n v="1001"/>
    <d v="2023-08-05T00:00:00"/>
    <s v="Bob"/>
    <x v="0"/>
    <n v="8247.5400000000009"/>
    <x v="41"/>
    <s v="Food"/>
    <n v="1791.83"/>
    <n v="1871.22"/>
    <s v="Returning"/>
    <n v="0.12"/>
    <x v="1"/>
    <x v="0"/>
    <s v="North-Bob"/>
  </r>
  <r>
    <n v="1058"/>
    <d v="2023-03-02T00:00:00"/>
    <s v="Eve"/>
    <x v="1"/>
    <n v="9333.83"/>
    <x v="3"/>
    <s v="Food"/>
    <n v="3542.8"/>
    <n v="3603.02"/>
    <s v="Returning"/>
    <n v="0.26"/>
    <x v="0"/>
    <x v="0"/>
    <s v="West-Eve"/>
  </r>
  <r>
    <n v="1001"/>
    <d v="2023-04-14T00:00:00"/>
    <s v="David"/>
    <x v="3"/>
    <n v="5488.11"/>
    <x v="39"/>
    <s v="Electronics"/>
    <n v="2631.68"/>
    <n v="2904.06"/>
    <s v="New"/>
    <n v="0.15"/>
    <x v="1"/>
    <x v="0"/>
    <s v="East-David"/>
  </r>
  <r>
    <n v="1034"/>
    <d v="2023-02-11T00:00:00"/>
    <s v="Eve"/>
    <x v="2"/>
    <n v="2082.79"/>
    <x v="42"/>
    <s v="Electronics"/>
    <n v="667"/>
    <n v="718.72"/>
    <s v="New"/>
    <n v="0.2"/>
    <x v="0"/>
    <x v="1"/>
    <s v="South-Eve"/>
  </r>
  <r>
    <n v="1096"/>
    <d v="2023-01-25T00:00:00"/>
    <s v="Charlie"/>
    <x v="1"/>
    <n v="6206.16"/>
    <x v="30"/>
    <s v="Clothing"/>
    <n v="4809"/>
    <n v="4967.4399999999996"/>
    <s v="New"/>
    <n v="0.12"/>
    <x v="0"/>
    <x v="0"/>
    <s v="West-Charlie"/>
  </r>
  <r>
    <n v="1048"/>
    <d v="2023-02-08T00:00:00"/>
    <s v="Charlie"/>
    <x v="1"/>
    <n v="7454.53"/>
    <x v="30"/>
    <s v="Clothing"/>
    <n v="3197.76"/>
    <n v="3572.61"/>
    <s v="Returning"/>
    <n v="0.08"/>
    <x v="2"/>
    <x v="0"/>
    <s v="West-Charlie"/>
  </r>
  <r>
    <n v="1089"/>
    <d v="2023-10-18T00:00:00"/>
    <s v="David"/>
    <x v="0"/>
    <n v="7405.38"/>
    <x v="13"/>
    <s v="Food"/>
    <n v="3841.05"/>
    <n v="4323.62"/>
    <s v="Returning"/>
    <n v="0.28999999999999998"/>
    <x v="2"/>
    <x v="1"/>
    <s v="North-David"/>
  </r>
  <r>
    <n v="1001"/>
    <d v="2023-05-11T00:00:00"/>
    <s v="Eve"/>
    <x v="3"/>
    <n v="5262.35"/>
    <x v="29"/>
    <s v="Clothing"/>
    <n v="442.11"/>
    <n v="803.87"/>
    <s v="New"/>
    <n v="0.18"/>
    <x v="0"/>
    <x v="1"/>
    <s v="East-Eve"/>
  </r>
  <r>
    <n v="1016"/>
    <d v="2023-08-17T00:00:00"/>
    <s v="Eve"/>
    <x v="1"/>
    <n v="777.74"/>
    <x v="48"/>
    <s v="Food"/>
    <n v="282.94"/>
    <n v="779.32999999999902"/>
    <s v="Returning"/>
    <n v="0.28000000000000003"/>
    <x v="2"/>
    <x v="0"/>
    <s v="West-Eve"/>
  </r>
  <r>
    <n v="1061"/>
    <d v="2023-04-18T00:00:00"/>
    <s v="Eve"/>
    <x v="0"/>
    <n v="3774.02"/>
    <x v="20"/>
    <s v="Electronics"/>
    <n v="146.27000000000001"/>
    <n v="498.46"/>
    <s v="New"/>
    <n v="0.06"/>
    <x v="0"/>
    <x v="1"/>
    <s v="North-Eve"/>
  </r>
  <r>
    <n v="1064"/>
    <d v="2023-06-21T00:00:00"/>
    <s v="Bob"/>
    <x v="1"/>
    <n v="9215.59"/>
    <x v="7"/>
    <s v="Electronics"/>
    <n v="984.53"/>
    <n v="1138.49"/>
    <s v="New"/>
    <n v="0.04"/>
    <x v="1"/>
    <x v="0"/>
    <s v="West-Bob"/>
  </r>
  <r>
    <n v="1063"/>
    <d v="2023-04-12T00:00:00"/>
    <s v="Charlie"/>
    <x v="0"/>
    <n v="5886.04"/>
    <x v="11"/>
    <s v="Electronics"/>
    <n v="2101.3200000000002"/>
    <n v="2440.63"/>
    <s v="New"/>
    <n v="0.26"/>
    <x v="1"/>
    <x v="1"/>
    <s v="North-Charlie"/>
  </r>
  <r>
    <n v="1069"/>
    <d v="2023-12-20T00:00:00"/>
    <s v="Eve"/>
    <x v="0"/>
    <n v="5429.49"/>
    <x v="26"/>
    <s v="Furniture"/>
    <n v="4682.34"/>
    <n v="5036.3999999999996"/>
    <s v="New"/>
    <n v="0.2"/>
    <x v="1"/>
    <x v="1"/>
    <s v="North-Eve"/>
  </r>
  <r>
    <n v="1022"/>
    <d v="2023-01-12T00:00:00"/>
    <s v="Eve"/>
    <x v="3"/>
    <n v="2761.65"/>
    <x v="4"/>
    <s v="Food"/>
    <n v="2312.4499999999998"/>
    <n v="2504.6"/>
    <s v="Returning"/>
    <n v="0.06"/>
    <x v="1"/>
    <x v="0"/>
    <s v="East-Eve"/>
  </r>
  <r>
    <n v="1093"/>
    <d v="2023-10-02T00:00:00"/>
    <s v="Bob"/>
    <x v="1"/>
    <n v="3747.64"/>
    <x v="8"/>
    <s v="Electronics"/>
    <n v="1486.76"/>
    <n v="1505.44"/>
    <s v="New"/>
    <n v="0.08"/>
    <x v="0"/>
    <x v="1"/>
    <s v="West-Bob"/>
  </r>
  <r>
    <n v="1067"/>
    <d v="2023-04-11T00:00:00"/>
    <s v="Bob"/>
    <x v="3"/>
    <n v="8963.93"/>
    <x v="1"/>
    <s v="Food"/>
    <n v="2831.58"/>
    <n v="3186.15"/>
    <s v="New"/>
    <n v="0.24"/>
    <x v="1"/>
    <x v="1"/>
    <s v="East-Bob"/>
  </r>
  <r>
    <n v="1076"/>
    <d v="2023-02-13T00:00:00"/>
    <s v="Eve"/>
    <x v="0"/>
    <n v="6697.98"/>
    <x v="1"/>
    <s v="Clothing"/>
    <n v="604.08000000000004"/>
    <n v="624.71"/>
    <s v="New"/>
    <n v="0.14000000000000001"/>
    <x v="1"/>
    <x v="1"/>
    <s v="North-Eve"/>
  </r>
  <r>
    <n v="1026"/>
    <d v="2023-11-01T00:00:00"/>
    <s v="Alice"/>
    <x v="2"/>
    <n v="7895.13"/>
    <x v="43"/>
    <s v="Clothing"/>
    <n v="3067.05"/>
    <n v="3386.33"/>
    <s v="New"/>
    <n v="0.2"/>
    <x v="1"/>
    <x v="0"/>
    <s v="South-Alice"/>
  </r>
  <r>
    <n v="1016"/>
    <d v="2023-01-17T00:00:00"/>
    <s v="Eve"/>
    <x v="1"/>
    <n v="4598.0200000000004"/>
    <x v="9"/>
    <s v="Electronics"/>
    <n v="2863.74"/>
    <n v="2953.91"/>
    <s v="New"/>
    <n v="0.1"/>
    <x v="1"/>
    <x v="1"/>
    <s v="West-Eve"/>
  </r>
  <r>
    <n v="1051"/>
    <d v="2023-11-26T00:00:00"/>
    <s v="Eve"/>
    <x v="2"/>
    <n v="6339.45"/>
    <x v="29"/>
    <s v="Food"/>
    <n v="3970.37"/>
    <n v="4257.5199999999904"/>
    <s v="New"/>
    <n v="0.11"/>
    <x v="0"/>
    <x v="1"/>
    <s v="South-Eve"/>
  </r>
  <r>
    <n v="1086"/>
    <d v="2023-02-26T00:00:00"/>
    <s v="Bob"/>
    <x v="1"/>
    <n v="2559"/>
    <x v="47"/>
    <s v="Electronics"/>
    <n v="4934.1000000000004"/>
    <n v="5191.0200000000004"/>
    <s v="New"/>
    <n v="0.3"/>
    <x v="1"/>
    <x v="0"/>
    <s v="West-Bob"/>
  </r>
  <r>
    <n v="1057"/>
    <d v="2023-11-07T00:00:00"/>
    <s v="Bob"/>
    <x v="3"/>
    <n v="7084.06"/>
    <x v="42"/>
    <s v="Clothing"/>
    <n v="1291.82"/>
    <n v="1308.4399999999901"/>
    <s v="Returning"/>
    <n v="7.0000000000000007E-2"/>
    <x v="2"/>
    <x v="0"/>
    <s v="East-Bob"/>
  </r>
  <r>
    <n v="1029"/>
    <d v="2023-10-30T00:00:00"/>
    <s v="Eve"/>
    <x v="3"/>
    <n v="4333.25"/>
    <x v="25"/>
    <s v="Electronics"/>
    <n v="2572.8000000000002"/>
    <n v="2760.6"/>
    <s v="Returning"/>
    <n v="0.15"/>
    <x v="2"/>
    <x v="1"/>
    <s v="East-Eve"/>
  </r>
  <r>
    <n v="1078"/>
    <d v="2023-01-12T00:00:00"/>
    <s v="Eve"/>
    <x v="3"/>
    <n v="4481.2"/>
    <x v="43"/>
    <s v="Food"/>
    <n v="4548.88"/>
    <n v="4853.41"/>
    <s v="Returning"/>
    <n v="0.25"/>
    <x v="2"/>
    <x v="1"/>
    <s v="East-Eve"/>
  </r>
  <r>
    <n v="1092"/>
    <d v="2023-11-14T00:00:00"/>
    <s v="Eve"/>
    <x v="3"/>
    <n v="6528.29"/>
    <x v="40"/>
    <s v="Clothing"/>
    <n v="3936.69"/>
    <n v="4362.51"/>
    <s v="Returning"/>
    <n v="7.0000000000000007E-2"/>
    <x v="2"/>
    <x v="1"/>
    <s v="East-Eve"/>
  </r>
  <r>
    <n v="1069"/>
    <d v="2023-03-21T00:00:00"/>
    <s v="Bob"/>
    <x v="3"/>
    <n v="9369.18"/>
    <x v="6"/>
    <s v="Furniture"/>
    <n v="2462.66"/>
    <n v="2908.0899999999901"/>
    <s v="New"/>
    <n v="0.12"/>
    <x v="2"/>
    <x v="0"/>
    <s v="East-Bob"/>
  </r>
  <r>
    <n v="1047"/>
    <d v="2023-08-04T00:00:00"/>
    <s v="Eve"/>
    <x v="2"/>
    <n v="733.66"/>
    <x v="20"/>
    <s v="Clothing"/>
    <n v="4729.59"/>
    <n v="4976.68"/>
    <s v="Returning"/>
    <n v="0.18"/>
    <x v="2"/>
    <x v="1"/>
    <s v="South-Eve"/>
  </r>
  <r>
    <n v="1094"/>
    <d v="2023-12-05T00:00:00"/>
    <s v="Eve"/>
    <x v="3"/>
    <n v="8264.9599999999991"/>
    <x v="26"/>
    <s v="Furniture"/>
    <n v="333.32"/>
    <n v="700.25"/>
    <s v="Returning"/>
    <n v="0.14000000000000001"/>
    <x v="0"/>
    <x v="0"/>
    <s v="East-Eve"/>
  </r>
  <r>
    <n v="1062"/>
    <d v="2023-09-21T00:00:00"/>
    <s v="David"/>
    <x v="0"/>
    <n v="2994.59"/>
    <x v="35"/>
    <s v="Electronics"/>
    <n v="4658.4399999999996"/>
    <n v="4823.5"/>
    <s v="Returning"/>
    <n v="0.14000000000000001"/>
    <x v="2"/>
    <x v="0"/>
    <s v="North-David"/>
  </r>
  <r>
    <n v="1069"/>
    <d v="2023-05-29T00:00:00"/>
    <s v="Alice"/>
    <x v="0"/>
    <n v="4494.8"/>
    <x v="2"/>
    <s v="Electronics"/>
    <n v="300.01"/>
    <n v="477.67999999999898"/>
    <s v="New"/>
    <n v="0.11"/>
    <x v="1"/>
    <x v="1"/>
    <s v="North-Alice"/>
  </r>
  <r>
    <n v="1076"/>
    <d v="2023-03-22T00:00:00"/>
    <s v="Charlie"/>
    <x v="2"/>
    <n v="316.94"/>
    <x v="18"/>
    <s v="Food"/>
    <n v="2759.16"/>
    <n v="2864.45"/>
    <s v="Returning"/>
    <n v="0.18"/>
    <x v="2"/>
    <x v="1"/>
    <s v="South-Charlie"/>
  </r>
  <r>
    <n v="1016"/>
    <d v="2023-08-03T00:00:00"/>
    <s v="Alice"/>
    <x v="1"/>
    <n v="3080.36"/>
    <x v="25"/>
    <s v="Furniture"/>
    <n v="4457.68"/>
    <n v="4743.03"/>
    <s v="Returning"/>
    <n v="0.19"/>
    <x v="0"/>
    <x v="0"/>
    <s v="West-Alice"/>
  </r>
  <r>
    <n v="1090"/>
    <d v="2023-07-17T00:00:00"/>
    <s v="David"/>
    <x v="0"/>
    <n v="5076.05"/>
    <x v="28"/>
    <s v="Electronics"/>
    <n v="1350.47"/>
    <n v="1514.61"/>
    <s v="New"/>
    <n v="0.2"/>
    <x v="2"/>
    <x v="1"/>
    <s v="North-David"/>
  </r>
  <r>
    <n v="1090"/>
    <d v="2023-07-19T00:00:00"/>
    <s v="Charlie"/>
    <x v="1"/>
    <n v="656.14"/>
    <x v="15"/>
    <s v="Furniture"/>
    <n v="2387.63"/>
    <n v="2438.9699999999998"/>
    <s v="Returning"/>
    <n v="0.02"/>
    <x v="1"/>
    <x v="1"/>
    <s v="West-Charlie"/>
  </r>
  <r>
    <n v="1048"/>
    <d v="2023-01-25T00:00:00"/>
    <s v="Eve"/>
    <x v="2"/>
    <n v="4961.8500000000004"/>
    <x v="48"/>
    <s v="Electronics"/>
    <n v="1655.43"/>
    <n v="2001.08"/>
    <s v="New"/>
    <n v="0.19"/>
    <x v="1"/>
    <x v="0"/>
    <s v="South-Eve"/>
  </r>
  <r>
    <n v="1085"/>
    <d v="2023-03-30T00:00:00"/>
    <s v="David"/>
    <x v="1"/>
    <n v="9278.4"/>
    <x v="27"/>
    <s v="Clothing"/>
    <n v="4763.1099999999997"/>
    <n v="5119.91"/>
    <s v="Returning"/>
    <n v="0.28999999999999998"/>
    <x v="0"/>
    <x v="1"/>
    <s v="West-David"/>
  </r>
  <r>
    <n v="1039"/>
    <d v="2023-09-25T00:00:00"/>
    <s v="Eve"/>
    <x v="1"/>
    <n v="1143.3900000000001"/>
    <x v="35"/>
    <s v="Electronics"/>
    <n v="4127.05"/>
    <n v="4313.45"/>
    <s v="New"/>
    <n v="0.16"/>
    <x v="0"/>
    <x v="0"/>
    <s v="West-Eve"/>
  </r>
  <r>
    <n v="1100"/>
    <d v="2023-05-23T00:00:00"/>
    <s v="Bob"/>
    <x v="1"/>
    <n v="7667.96"/>
    <x v="6"/>
    <s v="Food"/>
    <n v="3559.56"/>
    <n v="3607.15"/>
    <s v="Returning"/>
    <n v="0.21"/>
    <x v="0"/>
    <x v="1"/>
    <s v="West-Bob"/>
  </r>
  <r>
    <n v="1033"/>
    <d v="2023-02-28T00:00:00"/>
    <s v="David"/>
    <x v="1"/>
    <n v="4155.74"/>
    <x v="45"/>
    <s v="Clothing"/>
    <n v="2958.75"/>
    <n v="3177.64"/>
    <s v="Returning"/>
    <n v="0.17"/>
    <x v="0"/>
    <x v="0"/>
    <s v="West-David"/>
  </r>
  <r>
    <n v="1094"/>
    <d v="2023-12-31T00:00:00"/>
    <s v="Bob"/>
    <x v="2"/>
    <n v="6586.22"/>
    <x v="13"/>
    <s v="Food"/>
    <n v="4111.93"/>
    <n v="4338.67"/>
    <s v="Returning"/>
    <n v="0.26"/>
    <x v="2"/>
    <x v="0"/>
    <s v="South-Bob"/>
  </r>
  <r>
    <n v="1023"/>
    <d v="2023-01-26T00:00:00"/>
    <s v="David"/>
    <x v="0"/>
    <n v="2676.34"/>
    <x v="43"/>
    <s v="Clothing"/>
    <n v="1991.72"/>
    <n v="2329.37"/>
    <s v="New"/>
    <n v="0.28000000000000003"/>
    <x v="2"/>
    <x v="1"/>
    <s v="North-David"/>
  </r>
  <r>
    <n v="1010"/>
    <d v="2023-02-16T00:00:00"/>
    <s v="David"/>
    <x v="3"/>
    <n v="1678.97"/>
    <x v="20"/>
    <s v="Furniture"/>
    <n v="2265.38"/>
    <n v="2429.9299999999998"/>
    <s v="Returning"/>
    <n v="0.06"/>
    <x v="1"/>
    <x v="0"/>
    <s v="East-David"/>
  </r>
  <r>
    <n v="1069"/>
    <d v="2023-10-15T00:00:00"/>
    <s v="Bob"/>
    <x v="1"/>
    <n v="1688.58"/>
    <x v="7"/>
    <s v="Food"/>
    <n v="3663.51"/>
    <n v="4007.98"/>
    <s v="New"/>
    <n v="0.13"/>
    <x v="0"/>
    <x v="0"/>
    <s v="West-Bob"/>
  </r>
  <r>
    <n v="1100"/>
    <d v="2023-09-23T00:00:00"/>
    <s v="Charlie"/>
    <x v="0"/>
    <n v="797.87"/>
    <x v="12"/>
    <s v="Electronics"/>
    <n v="1820.89"/>
    <n v="2257.92"/>
    <s v="New"/>
    <n v="0.12"/>
    <x v="0"/>
    <x v="1"/>
    <s v="North-Charlie"/>
  </r>
  <r>
    <n v="1034"/>
    <d v="2023-01-16T00:00:00"/>
    <s v="Alice"/>
    <x v="0"/>
    <n v="1937.9"/>
    <x v="4"/>
    <s v="Furniture"/>
    <n v="366.31"/>
    <n v="492.68"/>
    <s v="New"/>
    <n v="0.12"/>
    <x v="2"/>
    <x v="1"/>
    <s v="North-Alice"/>
  </r>
  <r>
    <n v="1052"/>
    <d v="2023-07-18T00:00:00"/>
    <s v="Eve"/>
    <x v="2"/>
    <n v="6675.77"/>
    <x v="31"/>
    <s v="Electronics"/>
    <n v="417.96"/>
    <n v="907.63"/>
    <s v="New"/>
    <n v="0.04"/>
    <x v="0"/>
    <x v="1"/>
    <s v="South-Eve"/>
  </r>
  <r>
    <n v="1095"/>
    <d v="2023-10-09T00:00:00"/>
    <s v="David"/>
    <x v="0"/>
    <n v="8828.74"/>
    <x v="9"/>
    <s v="Clothing"/>
    <n v="621.04999999999995"/>
    <n v="820.36999999999898"/>
    <s v="Returning"/>
    <n v="0.24"/>
    <x v="1"/>
    <x v="0"/>
    <s v="North-David"/>
  </r>
  <r>
    <n v="1010"/>
    <d v="2023-03-27T00:00:00"/>
    <s v="Eve"/>
    <x v="2"/>
    <n v="8159.84"/>
    <x v="35"/>
    <s v="Clothing"/>
    <n v="4354.92"/>
    <n v="4495.88"/>
    <s v="Returning"/>
    <n v="0.01"/>
    <x v="1"/>
    <x v="0"/>
    <s v="South-Eve"/>
  </r>
  <r>
    <n v="1019"/>
    <d v="2023-09-07T00:00:00"/>
    <s v="Bob"/>
    <x v="1"/>
    <n v="6882.83"/>
    <x v="30"/>
    <s v="Electronics"/>
    <n v="2387.52"/>
    <n v="2604.06"/>
    <s v="Returning"/>
    <n v="0.16"/>
    <x v="0"/>
    <x v="0"/>
    <s v="West-Bob"/>
  </r>
  <r>
    <n v="1058"/>
    <d v="2023-09-27T00:00:00"/>
    <s v="Eve"/>
    <x v="1"/>
    <n v="1193.28"/>
    <x v="6"/>
    <s v="Electronics"/>
    <n v="3578.77"/>
    <n v="3635.02"/>
    <s v="New"/>
    <n v="0.2"/>
    <x v="1"/>
    <x v="1"/>
    <s v="West-Eve"/>
  </r>
  <r>
    <n v="1096"/>
    <d v="2023-12-01T00:00:00"/>
    <s v="Bob"/>
    <x v="3"/>
    <n v="2962.96"/>
    <x v="46"/>
    <s v="Furniture"/>
    <n v="1994.9"/>
    <n v="2066.5"/>
    <s v="Returning"/>
    <n v="0.06"/>
    <x v="1"/>
    <x v="0"/>
    <s v="East-Bob"/>
  </r>
  <r>
    <n v="1001"/>
    <d v="2023-04-27T00:00:00"/>
    <s v="Eve"/>
    <x v="3"/>
    <n v="3167.09"/>
    <x v="44"/>
    <s v="Electronics"/>
    <n v="1330.62"/>
    <n v="1543.6899999999901"/>
    <s v="New"/>
    <n v="0.27"/>
    <x v="2"/>
    <x v="0"/>
    <s v="East-Eve"/>
  </r>
  <r>
    <n v="1069"/>
    <d v="2023-01-07T00:00:00"/>
    <s v="Alice"/>
    <x v="3"/>
    <n v="2574.5700000000002"/>
    <x v="32"/>
    <s v="Food"/>
    <n v="1768.6"/>
    <n v="2152.1999999999998"/>
    <s v="New"/>
    <n v="0.25"/>
    <x v="1"/>
    <x v="1"/>
    <s v="East-Alice"/>
  </r>
  <r>
    <n v="1004"/>
    <d v="2023-05-17T00:00:00"/>
    <s v="Alice"/>
    <x v="0"/>
    <n v="5198.5600000000004"/>
    <x v="43"/>
    <s v="Food"/>
    <n v="3981.2"/>
    <n v="4432.3499999999904"/>
    <s v="New"/>
    <n v="0.14000000000000001"/>
    <x v="0"/>
    <x v="0"/>
    <s v="North-Alice"/>
  </r>
  <r>
    <n v="1016"/>
    <d v="2023-06-25T00:00:00"/>
    <s v="Alice"/>
    <x v="1"/>
    <n v="5401.98"/>
    <x v="39"/>
    <s v="Electronics"/>
    <n v="3144.82"/>
    <n v="3480.58"/>
    <s v="Returning"/>
    <n v="0.12"/>
    <x v="0"/>
    <x v="1"/>
    <s v="West-Alice"/>
  </r>
  <r>
    <n v="1024"/>
    <d v="2023-11-24T00:00:00"/>
    <s v="Alice"/>
    <x v="2"/>
    <n v="3633.17"/>
    <x v="33"/>
    <s v="Food"/>
    <n v="4691.32"/>
    <n v="4752.88"/>
    <s v="Returning"/>
    <n v="7.0000000000000007E-2"/>
    <x v="1"/>
    <x v="1"/>
    <s v="South-Alice"/>
  </r>
  <r>
    <n v="1080"/>
    <d v="2023-11-11T00:00:00"/>
    <s v="Alice"/>
    <x v="3"/>
    <n v="3602.51"/>
    <x v="5"/>
    <s v="Electronics"/>
    <n v="3414.54"/>
    <n v="3753.83"/>
    <s v="New"/>
    <n v="0.22"/>
    <x v="0"/>
    <x v="1"/>
    <s v="East-Alice"/>
  </r>
  <r>
    <n v="1002"/>
    <d v="2023-08-03T00:00:00"/>
    <s v="Alice"/>
    <x v="2"/>
    <n v="8302.7000000000007"/>
    <x v="25"/>
    <s v="Furniture"/>
    <n v="2872.4"/>
    <n v="3193.76"/>
    <s v="Returning"/>
    <n v="0.04"/>
    <x v="2"/>
    <x v="0"/>
    <s v="South-Alice"/>
  </r>
  <r>
    <n v="1092"/>
    <d v="2023-03-23T00:00:00"/>
    <s v="Bob"/>
    <x v="2"/>
    <n v="7914"/>
    <x v="0"/>
    <s v="Food"/>
    <n v="3070.47"/>
    <n v="3475.29"/>
    <s v="Returning"/>
    <n v="0.2"/>
    <x v="1"/>
    <x v="0"/>
    <s v="South-Bob"/>
  </r>
  <r>
    <n v="1032"/>
    <d v="2023-08-11T00:00:00"/>
    <s v="David"/>
    <x v="3"/>
    <n v="3147.18"/>
    <x v="47"/>
    <s v="Food"/>
    <n v="4714.74"/>
    <n v="5129.1099999999997"/>
    <s v="New"/>
    <n v="0.25"/>
    <x v="1"/>
    <x v="0"/>
    <s v="East-David"/>
  </r>
  <r>
    <n v="1091"/>
    <d v="2023-04-13T00:00:00"/>
    <s v="Eve"/>
    <x v="1"/>
    <n v="9146.51"/>
    <x v="43"/>
    <s v="Electronics"/>
    <n v="3951.59"/>
    <n v="4387.01"/>
    <s v="New"/>
    <n v="7.0000000000000007E-2"/>
    <x v="1"/>
    <x v="1"/>
    <s v="West-Eve"/>
  </r>
  <r>
    <n v="1084"/>
    <d v="2023-09-30T00:00:00"/>
    <s v="Alice"/>
    <x v="3"/>
    <n v="9532.8700000000008"/>
    <x v="2"/>
    <s v="Food"/>
    <n v="169"/>
    <n v="381.91999999999899"/>
    <s v="Returning"/>
    <n v="0.26"/>
    <x v="0"/>
    <x v="1"/>
    <s v="East-Alice"/>
  </r>
  <r>
    <n v="1024"/>
    <d v="2023-01-14T00:00:00"/>
    <s v="Bob"/>
    <x v="2"/>
    <n v="3334.75"/>
    <x v="27"/>
    <s v="Clothing"/>
    <n v="2693.99"/>
    <n v="3045.9399999999901"/>
    <s v="New"/>
    <n v="0.01"/>
    <x v="0"/>
    <x v="1"/>
    <s v="South-Bob"/>
  </r>
  <r>
    <n v="1012"/>
    <d v="2023-06-08T00:00:00"/>
    <s v="Bob"/>
    <x v="3"/>
    <n v="3608.81"/>
    <x v="12"/>
    <s v="Furniture"/>
    <n v="3457.28"/>
    <n v="3598.72"/>
    <s v="New"/>
    <n v="0.27"/>
    <x v="1"/>
    <x v="0"/>
    <s v="East-Bob"/>
  </r>
  <r>
    <n v="1050"/>
    <d v="2023-06-01T00:00:00"/>
    <s v="Bob"/>
    <x v="2"/>
    <n v="5105.78"/>
    <x v="18"/>
    <s v="Furniture"/>
    <n v="3756.06"/>
    <n v="4255.7299999999996"/>
    <s v="Returning"/>
    <n v="0.04"/>
    <x v="0"/>
    <x v="0"/>
    <s v="South-Bob"/>
  </r>
  <r>
    <n v="1035"/>
    <d v="2023-04-18T00:00:00"/>
    <s v="David"/>
    <x v="2"/>
    <n v="9417.1"/>
    <x v="24"/>
    <s v="Food"/>
    <n v="1105.05"/>
    <n v="1200.96"/>
    <s v="Returning"/>
    <n v="0.19"/>
    <x v="0"/>
    <x v="0"/>
    <s v="South-David"/>
  </r>
  <r>
    <n v="1033"/>
    <d v="2023-07-07T00:00:00"/>
    <s v="Eve"/>
    <x v="3"/>
    <n v="8775.56"/>
    <x v="4"/>
    <s v="Food"/>
    <n v="4342.53"/>
    <n v="4357.49"/>
    <s v="New"/>
    <n v="0.08"/>
    <x v="1"/>
    <x v="0"/>
    <s v="East-Eve"/>
  </r>
  <r>
    <n v="1033"/>
    <d v="2023-10-28T00:00:00"/>
    <s v="David"/>
    <x v="0"/>
    <n v="1115.42"/>
    <x v="8"/>
    <s v="Clothing"/>
    <n v="4781.42"/>
    <n v="4864.34"/>
    <s v="Returning"/>
    <n v="0.25"/>
    <x v="1"/>
    <x v="0"/>
    <s v="North-David"/>
  </r>
  <r>
    <n v="1061"/>
    <d v="2023-04-08T00:00:00"/>
    <s v="Charlie"/>
    <x v="3"/>
    <n v="3988.03"/>
    <x v="6"/>
    <s v="Clothing"/>
    <n v="1221.74"/>
    <n v="1611.92"/>
    <s v="New"/>
    <n v="0.15"/>
    <x v="0"/>
    <x v="1"/>
    <s v="East-Charlie"/>
  </r>
  <r>
    <n v="1051"/>
    <d v="2023-05-11T00:00:00"/>
    <s v="Bob"/>
    <x v="0"/>
    <n v="5578.37"/>
    <x v="43"/>
    <s v="Food"/>
    <n v="4418.95"/>
    <n v="4647.87"/>
    <s v="New"/>
    <n v="0.04"/>
    <x v="1"/>
    <x v="0"/>
    <s v="North-Bob"/>
  </r>
  <r>
    <n v="1043"/>
    <d v="2023-10-20T00:00:00"/>
    <s v="Charlie"/>
    <x v="2"/>
    <n v="5081.01"/>
    <x v="33"/>
    <s v="Food"/>
    <n v="530.04"/>
    <n v="759.31999999999903"/>
    <s v="Returning"/>
    <n v="0.17"/>
    <x v="1"/>
    <x v="1"/>
    <s v="South-Charlie"/>
  </r>
  <r>
    <n v="1012"/>
    <d v="2023-06-20T00:00:00"/>
    <s v="Alice"/>
    <x v="2"/>
    <n v="2019.24"/>
    <x v="20"/>
    <s v="Clothing"/>
    <n v="325.75"/>
    <n v="803.71"/>
    <s v="New"/>
    <n v="0.12"/>
    <x v="1"/>
    <x v="1"/>
    <s v="South-Alice"/>
  </r>
  <r>
    <n v="1067"/>
    <d v="2023-07-02T00:00:00"/>
    <s v="Alice"/>
    <x v="0"/>
    <n v="8602.2900000000009"/>
    <x v="43"/>
    <s v="Electronics"/>
    <n v="689.66"/>
    <n v="1150.28"/>
    <s v="New"/>
    <n v="0.2"/>
    <x v="1"/>
    <x v="0"/>
    <s v="North-Alice"/>
  </r>
  <r>
    <n v="1065"/>
    <d v="2023-12-30T00:00:00"/>
    <s v="David"/>
    <x v="2"/>
    <n v="6801.71"/>
    <x v="14"/>
    <s v="Clothing"/>
    <n v="335.82"/>
    <n v="498.31"/>
    <s v="New"/>
    <n v="0.26"/>
    <x v="0"/>
    <x v="1"/>
    <s v="South-David"/>
  </r>
  <r>
    <n v="1033"/>
    <d v="2023-02-08T00:00:00"/>
    <s v="Eve"/>
    <x v="0"/>
    <n v="8395.2900000000009"/>
    <x v="3"/>
    <s v="Electronics"/>
    <n v="4232.8100000000004"/>
    <n v="4345.25"/>
    <s v="Returning"/>
    <n v="0.12"/>
    <x v="1"/>
    <x v="0"/>
    <s v="North-Eve"/>
  </r>
  <r>
    <n v="1040"/>
    <d v="2023-01-15T00:00:00"/>
    <s v="Charlie"/>
    <x v="0"/>
    <n v="8601.77"/>
    <x v="12"/>
    <s v="Furniture"/>
    <n v="342.3"/>
    <n v="768.06"/>
    <s v="Returning"/>
    <n v="0.09"/>
    <x v="2"/>
    <x v="0"/>
    <s v="North-Charlie"/>
  </r>
  <r>
    <n v="1074"/>
    <d v="2023-01-04T00:00:00"/>
    <s v="Eve"/>
    <x v="2"/>
    <n v="7508.72"/>
    <x v="34"/>
    <s v="Furniture"/>
    <n v="1394.74"/>
    <n v="1848.69"/>
    <s v="Returning"/>
    <n v="0"/>
    <x v="1"/>
    <x v="1"/>
    <s v="South-Eve"/>
  </r>
  <r>
    <n v="1043"/>
    <d v="2023-12-15T00:00:00"/>
    <s v="David"/>
    <x v="1"/>
    <n v="4448.18"/>
    <x v="32"/>
    <s v="Clothing"/>
    <n v="563.59"/>
    <n v="838.97"/>
    <s v="New"/>
    <n v="0.17"/>
    <x v="2"/>
    <x v="0"/>
    <s v="West-David"/>
  </r>
  <r>
    <n v="1044"/>
    <d v="2023-07-29T00:00:00"/>
    <s v="Alice"/>
    <x v="0"/>
    <n v="6144.41"/>
    <x v="20"/>
    <s v="Electronics"/>
    <n v="1512.34"/>
    <n v="1830.76"/>
    <s v="New"/>
    <n v="0.12"/>
    <x v="1"/>
    <x v="0"/>
    <s v="North-Alice"/>
  </r>
  <r>
    <n v="1029"/>
    <d v="2023-06-10T00:00:00"/>
    <s v="Eve"/>
    <x v="3"/>
    <n v="1687.62"/>
    <x v="13"/>
    <s v="Clothing"/>
    <n v="498.27"/>
    <n v="634.16"/>
    <s v="Returning"/>
    <n v="0.11"/>
    <x v="2"/>
    <x v="1"/>
    <s v="East-Eve"/>
  </r>
  <r>
    <n v="1013"/>
    <d v="2023-01-16T00:00:00"/>
    <s v="Eve"/>
    <x v="3"/>
    <n v="6769.09"/>
    <x v="46"/>
    <s v="Clothing"/>
    <n v="3356.62"/>
    <n v="3759.0099999999902"/>
    <s v="Returning"/>
    <n v="0.05"/>
    <x v="2"/>
    <x v="1"/>
    <s v="East-Eve"/>
  </r>
  <r>
    <n v="1012"/>
    <d v="2023-04-18T00:00:00"/>
    <s v="Alice"/>
    <x v="2"/>
    <n v="1874.61"/>
    <x v="14"/>
    <s v="Electronics"/>
    <n v="709.97"/>
    <n v="1029.71"/>
    <s v="Returning"/>
    <n v="0.13"/>
    <x v="1"/>
    <x v="1"/>
    <s v="South-Alice"/>
  </r>
  <r>
    <n v="1095"/>
    <d v="2023-11-07T00:00:00"/>
    <s v="Charlie"/>
    <x v="1"/>
    <n v="6970.1"/>
    <x v="5"/>
    <s v="Clothing"/>
    <n v="4266.6400000000003"/>
    <n v="4523.3599999999997"/>
    <s v="New"/>
    <n v="0.3"/>
    <x v="1"/>
    <x v="1"/>
    <s v="West-Charlie"/>
  </r>
  <r>
    <n v="1046"/>
    <d v="2023-08-15T00:00:00"/>
    <s v="Alice"/>
    <x v="2"/>
    <n v="2373.02"/>
    <x v="41"/>
    <s v="Furniture"/>
    <n v="4095.1"/>
    <n v="4134.55"/>
    <s v="Returning"/>
    <n v="0.09"/>
    <x v="1"/>
    <x v="1"/>
    <s v="South-Alice"/>
  </r>
  <r>
    <n v="1002"/>
    <d v="2023-06-19T00:00:00"/>
    <s v="Eve"/>
    <x v="1"/>
    <n v="1263.76"/>
    <x v="0"/>
    <s v="Food"/>
    <n v="117.63"/>
    <n v="576.44000000000005"/>
    <s v="New"/>
    <n v="0.18"/>
    <x v="2"/>
    <x v="1"/>
    <s v="West-Eve"/>
  </r>
  <r>
    <n v="1035"/>
    <d v="2023-02-03T00:00:00"/>
    <s v="Charlie"/>
    <x v="0"/>
    <n v="1736.32"/>
    <x v="47"/>
    <s v="Food"/>
    <n v="4483.8500000000004"/>
    <n v="4795.42"/>
    <s v="Returning"/>
    <n v="0.23"/>
    <x v="0"/>
    <x v="0"/>
    <s v="North-Charlie"/>
  </r>
  <r>
    <n v="1087"/>
    <d v="2023-09-08T00:00:00"/>
    <s v="Charlie"/>
    <x v="0"/>
    <n v="119.72"/>
    <x v="46"/>
    <s v="Clothing"/>
    <n v="193.27"/>
    <n v="297.69"/>
    <s v="New"/>
    <n v="0.22"/>
    <x v="0"/>
    <x v="0"/>
    <s v="North-Charlie"/>
  </r>
  <r>
    <n v="1081"/>
    <d v="2023-09-04T00:00:00"/>
    <s v="Alice"/>
    <x v="0"/>
    <n v="7215.52"/>
    <x v="18"/>
    <s v="Electronics"/>
    <n v="1236.25"/>
    <n v="1543.38"/>
    <s v="New"/>
    <n v="0.1"/>
    <x v="1"/>
    <x v="0"/>
    <s v="North-Alice"/>
  </r>
  <r>
    <n v="1090"/>
    <d v="2023-09-26T00:00:00"/>
    <s v="Eve"/>
    <x v="0"/>
    <n v="7350.77"/>
    <x v="23"/>
    <s v="Electronics"/>
    <n v="210.33"/>
    <n v="552.29"/>
    <s v="Returning"/>
    <n v="0.18"/>
    <x v="0"/>
    <x v="1"/>
    <s v="North-Eve"/>
  </r>
  <r>
    <n v="1008"/>
    <d v="2023-05-21T00:00:00"/>
    <s v="David"/>
    <x v="3"/>
    <n v="5197.84"/>
    <x v="35"/>
    <s v="Furniture"/>
    <n v="1712.43"/>
    <n v="1980.06"/>
    <s v="New"/>
    <n v="0.26"/>
    <x v="0"/>
    <x v="0"/>
    <s v="East-David"/>
  </r>
  <r>
    <n v="1093"/>
    <d v="2023-10-01T00:00:00"/>
    <s v="Eve"/>
    <x v="3"/>
    <n v="1697.49"/>
    <x v="33"/>
    <s v="Electronics"/>
    <n v="2593.64"/>
    <n v="2955.5099999999902"/>
    <s v="Returning"/>
    <n v="0"/>
    <x v="1"/>
    <x v="1"/>
    <s v="East-Eve"/>
  </r>
  <r>
    <n v="1026"/>
    <d v="2023-04-06T00:00:00"/>
    <s v="Bob"/>
    <x v="2"/>
    <n v="927.19"/>
    <x v="41"/>
    <s v="Electronics"/>
    <n v="3993.39"/>
    <n v="4288.3"/>
    <s v="New"/>
    <n v="0.13"/>
    <x v="2"/>
    <x v="0"/>
    <s v="South-Bob"/>
  </r>
  <r>
    <n v="1074"/>
    <d v="2023-08-15T00:00:00"/>
    <s v="David"/>
    <x v="1"/>
    <n v="289.38"/>
    <x v="6"/>
    <s v="Furniture"/>
    <n v="1723.01"/>
    <n v="2197.42"/>
    <s v="New"/>
    <n v="7.0000000000000007E-2"/>
    <x v="1"/>
    <x v="1"/>
    <s v="West-David"/>
  </r>
  <r>
    <n v="1090"/>
    <d v="2023-02-08T00:00:00"/>
    <s v="Charlie"/>
    <x v="0"/>
    <n v="1740.91"/>
    <x v="16"/>
    <s v="Clothing"/>
    <n v="3542.18"/>
    <n v="3578.49"/>
    <s v="Returning"/>
    <n v="0.12"/>
    <x v="0"/>
    <x v="0"/>
    <s v="North-Charlie"/>
  </r>
  <r>
    <n v="1034"/>
    <d v="2023-10-29T00:00:00"/>
    <s v="David"/>
    <x v="0"/>
    <n v="8919.4699999999993"/>
    <x v="24"/>
    <s v="Food"/>
    <n v="978.15"/>
    <n v="1040.21"/>
    <s v="New"/>
    <n v="0.12"/>
    <x v="2"/>
    <x v="1"/>
    <s v="North-David"/>
  </r>
  <r>
    <n v="1007"/>
    <d v="2023-01-29T00:00:00"/>
    <s v="Charlie"/>
    <x v="1"/>
    <n v="2491.21"/>
    <x v="4"/>
    <s v="Furniture"/>
    <n v="3765.46"/>
    <n v="3860.56"/>
    <s v="Returning"/>
    <n v="0.22"/>
    <x v="0"/>
    <x v="1"/>
    <s v="West-Charlie"/>
  </r>
  <r>
    <n v="1068"/>
    <d v="2023-11-14T00:00:00"/>
    <s v="Charlie"/>
    <x v="1"/>
    <n v="3607.29"/>
    <x v="31"/>
    <s v="Clothing"/>
    <n v="1218.18"/>
    <n v="1566.36"/>
    <s v="Returning"/>
    <n v="0.03"/>
    <x v="2"/>
    <x v="1"/>
    <s v="West-Charlie"/>
  </r>
  <r>
    <n v="1058"/>
    <d v="2023-09-02T00:00:00"/>
    <s v="David"/>
    <x v="2"/>
    <n v="1142.92"/>
    <x v="14"/>
    <s v="Furniture"/>
    <n v="760.55"/>
    <n v="1086.8899999999901"/>
    <s v="Returning"/>
    <n v="0.15"/>
    <x v="0"/>
    <x v="1"/>
    <s v="South-David"/>
  </r>
  <r>
    <n v="1075"/>
    <d v="2023-08-24T00:00:00"/>
    <s v="Charlie"/>
    <x v="1"/>
    <n v="2301.38"/>
    <x v="31"/>
    <s v="Clothing"/>
    <n v="967.77"/>
    <n v="1414.88"/>
    <s v="New"/>
    <n v="0.17"/>
    <x v="1"/>
    <x v="0"/>
    <s v="West-Charlie"/>
  </r>
  <r>
    <n v="1029"/>
    <d v="2023-07-04T00:00:00"/>
    <s v="Charlie"/>
    <x v="0"/>
    <n v="5240.32"/>
    <x v="17"/>
    <s v="Furniture"/>
    <n v="951.21"/>
    <n v="1320.32"/>
    <s v="New"/>
    <n v="0.15"/>
    <x v="0"/>
    <x v="0"/>
    <s v="North-Charlie"/>
  </r>
  <r>
    <n v="1036"/>
    <d v="2023-09-29T00:00:00"/>
    <s v="Bob"/>
    <x v="0"/>
    <n v="6116.75"/>
    <x v="48"/>
    <s v="Clothing"/>
    <n v="2588.67"/>
    <n v="2847.76"/>
    <s v="New"/>
    <n v="0.22"/>
    <x v="0"/>
    <x v="1"/>
    <s v="North-Bob"/>
  </r>
  <r>
    <n v="1089"/>
    <d v="2023-08-24T00:00:00"/>
    <s v="Eve"/>
    <x v="0"/>
    <n v="2528.9899999999998"/>
    <x v="41"/>
    <s v="Furniture"/>
    <n v="4231.75"/>
    <n v="4727.75"/>
    <s v="Returning"/>
    <n v="0.12"/>
    <x v="2"/>
    <x v="1"/>
    <s v="North-Eve"/>
  </r>
  <r>
    <n v="1021"/>
    <d v="2023-08-27T00:00:00"/>
    <s v="Eve"/>
    <x v="0"/>
    <n v="671.55"/>
    <x v="12"/>
    <s v="Clothing"/>
    <n v="444.05"/>
    <n v="584.44000000000005"/>
    <s v="Returning"/>
    <n v="0.28000000000000003"/>
    <x v="0"/>
    <x v="1"/>
    <s v="North-Eve"/>
  </r>
  <r>
    <n v="1036"/>
    <d v="2023-09-23T00:00:00"/>
    <s v="Bob"/>
    <x v="0"/>
    <n v="3971.23"/>
    <x v="31"/>
    <s v="Furniture"/>
    <n v="3549.43"/>
    <n v="3967.6899999999901"/>
    <s v="New"/>
    <n v="0.14000000000000001"/>
    <x v="1"/>
    <x v="0"/>
    <s v="North-Bob"/>
  </r>
  <r>
    <n v="1010"/>
    <d v="2023-12-25T00:00:00"/>
    <s v="David"/>
    <x v="2"/>
    <n v="2418.61"/>
    <x v="2"/>
    <s v="Food"/>
    <n v="3289.01"/>
    <n v="3508.14"/>
    <s v="New"/>
    <n v="0.17"/>
    <x v="1"/>
    <x v="1"/>
    <s v="South-David"/>
  </r>
  <r>
    <n v="1073"/>
    <d v="2023-12-06T00:00:00"/>
    <s v="Alice"/>
    <x v="0"/>
    <n v="2273.58"/>
    <x v="17"/>
    <s v="Food"/>
    <n v="4368.97"/>
    <n v="4696.8500000000004"/>
    <s v="Returning"/>
    <n v="0.25"/>
    <x v="1"/>
    <x v="1"/>
    <s v="North-Alice"/>
  </r>
  <r>
    <n v="1024"/>
    <d v="2023-03-06T00:00:00"/>
    <s v="Alice"/>
    <x v="2"/>
    <n v="9602.64"/>
    <x v="22"/>
    <s v="Electronics"/>
    <n v="1258.53"/>
    <n v="1624.8899999999901"/>
    <s v="New"/>
    <n v="0.08"/>
    <x v="2"/>
    <x v="0"/>
    <s v="South-Alice"/>
  </r>
  <r>
    <n v="1064"/>
    <d v="2023-06-26T00:00:00"/>
    <s v="Alice"/>
    <x v="0"/>
    <n v="6201.37"/>
    <x v="9"/>
    <s v="Clothing"/>
    <n v="2278.04"/>
    <n v="2598.58"/>
    <s v="Returning"/>
    <n v="0.02"/>
    <x v="2"/>
    <x v="1"/>
    <s v="North-Alice"/>
  </r>
  <r>
    <n v="1099"/>
    <d v="2023-01-03T00:00:00"/>
    <s v="Bob"/>
    <x v="3"/>
    <n v="5613.1"/>
    <x v="17"/>
    <s v="Furniture"/>
    <n v="4632.8500000000004"/>
    <n v="4711.7"/>
    <s v="New"/>
    <n v="0.21"/>
    <x v="0"/>
    <x v="1"/>
    <s v="East-Bob"/>
  </r>
  <r>
    <n v="1049"/>
    <d v="2023-05-22T00:00:00"/>
    <s v="Bob"/>
    <x v="3"/>
    <n v="4216.17"/>
    <x v="12"/>
    <s v="Clothing"/>
    <n v="3316.97"/>
    <n v="3544.02"/>
    <s v="Returning"/>
    <n v="0.14000000000000001"/>
    <x v="0"/>
    <x v="0"/>
    <s v="East-Bob"/>
  </r>
  <r>
    <n v="1099"/>
    <d v="2023-06-07T00:00:00"/>
    <s v="Charlie"/>
    <x v="3"/>
    <n v="4346.55"/>
    <x v="17"/>
    <s v="Food"/>
    <n v="1974.4"/>
    <n v="2259.5"/>
    <s v="New"/>
    <n v="0.27"/>
    <x v="0"/>
    <x v="1"/>
    <s v="East-Charlie"/>
  </r>
  <r>
    <n v="1036"/>
    <d v="2023-11-20T00:00:00"/>
    <s v="Alice"/>
    <x v="3"/>
    <n v="5454.96"/>
    <x v="5"/>
    <s v="Clothing"/>
    <n v="700.49"/>
    <n v="1126.52"/>
    <s v="New"/>
    <n v="0.28999999999999998"/>
    <x v="2"/>
    <x v="1"/>
    <s v="East-Alice"/>
  </r>
  <r>
    <n v="1082"/>
    <d v="2023-05-26T00:00:00"/>
    <s v="David"/>
    <x v="2"/>
    <n v="6994.66"/>
    <x v="39"/>
    <s v="Furniture"/>
    <n v="1349.3"/>
    <n v="1576.69"/>
    <s v="Returning"/>
    <n v="0.12"/>
    <x v="2"/>
    <x v="0"/>
    <s v="South-David"/>
  </r>
  <r>
    <n v="1096"/>
    <d v="2023-10-20T00:00:00"/>
    <s v="David"/>
    <x v="2"/>
    <n v="7051.25"/>
    <x v="15"/>
    <s v="Clothing"/>
    <n v="2927.02"/>
    <n v="3387.21"/>
    <s v="Returning"/>
    <n v="0.12"/>
    <x v="0"/>
    <x v="1"/>
    <s v="South-David"/>
  </r>
  <r>
    <n v="1024"/>
    <d v="2023-06-02T00:00:00"/>
    <s v="Alice"/>
    <x v="1"/>
    <n v="1799.77"/>
    <x v="39"/>
    <s v="Furniture"/>
    <n v="3604.93"/>
    <n v="3830.71"/>
    <s v="Returning"/>
    <n v="0.12"/>
    <x v="2"/>
    <x v="0"/>
    <s v="West-Alice"/>
  </r>
  <r>
    <n v="1023"/>
    <d v="2023-07-12T00:00:00"/>
    <s v="Alice"/>
    <x v="0"/>
    <n v="5051.12"/>
    <x v="39"/>
    <s v="Food"/>
    <n v="665.89"/>
    <n v="944.79"/>
    <s v="New"/>
    <n v="0.1"/>
    <x v="2"/>
    <x v="1"/>
    <s v="North-Alice"/>
  </r>
  <r>
    <n v="1062"/>
    <d v="2023-03-14T00:00:00"/>
    <s v="Alice"/>
    <x v="3"/>
    <n v="4178.3900000000003"/>
    <x v="38"/>
    <s v="Food"/>
    <n v="3018.01"/>
    <n v="3418.19"/>
    <s v="Returning"/>
    <n v="0.23"/>
    <x v="1"/>
    <x v="1"/>
    <s v="East-Alice"/>
  </r>
  <r>
    <n v="1096"/>
    <d v="2023-11-01T00:00:00"/>
    <s v="Bob"/>
    <x v="2"/>
    <n v="8718.2199999999993"/>
    <x v="1"/>
    <s v="Food"/>
    <n v="2774.24"/>
    <n v="3069.9399999999901"/>
    <s v="Returning"/>
    <n v="0.23"/>
    <x v="1"/>
    <x v="1"/>
    <s v="South-Bob"/>
  </r>
  <r>
    <n v="1037"/>
    <d v="2023-12-10T00:00:00"/>
    <s v="Bob"/>
    <x v="0"/>
    <n v="6351.05"/>
    <x v="5"/>
    <s v="Electronics"/>
    <n v="2594.08"/>
    <n v="3074.59"/>
    <s v="New"/>
    <n v="0.14000000000000001"/>
    <x v="0"/>
    <x v="1"/>
    <s v="North-Bob"/>
  </r>
  <r>
    <n v="1012"/>
    <d v="2023-05-20T00:00:00"/>
    <s v="Bob"/>
    <x v="0"/>
    <n v="5371.79"/>
    <x v="25"/>
    <s v="Food"/>
    <n v="3466.11"/>
    <n v="3799.67"/>
    <s v="Returning"/>
    <n v="0.01"/>
    <x v="0"/>
    <x v="1"/>
    <s v="North-Bob"/>
  </r>
  <r>
    <n v="1055"/>
    <d v="2023-07-06T00:00:00"/>
    <s v="Eve"/>
    <x v="2"/>
    <n v="1242.4100000000001"/>
    <x v="25"/>
    <s v="Clothing"/>
    <n v="4195.38"/>
    <n v="4461.51"/>
    <s v="Returning"/>
    <n v="0.09"/>
    <x v="1"/>
    <x v="0"/>
    <s v="South-Eve"/>
  </r>
  <r>
    <n v="1013"/>
    <d v="2023-10-20T00:00:00"/>
    <s v="David"/>
    <x v="3"/>
    <n v="6095.82"/>
    <x v="7"/>
    <s v="Electronics"/>
    <n v="1648.8"/>
    <n v="1670.36"/>
    <s v="Returning"/>
    <n v="0.09"/>
    <x v="2"/>
    <x v="1"/>
    <s v="East-David"/>
  </r>
  <r>
    <n v="1023"/>
    <d v="2023-03-02T00:00:00"/>
    <s v="David"/>
    <x v="1"/>
    <n v="1260.32"/>
    <x v="3"/>
    <s v="Food"/>
    <n v="4450.6099999999997"/>
    <n v="4663.3399999999901"/>
    <s v="New"/>
    <n v="0.24"/>
    <x v="0"/>
    <x v="1"/>
    <s v="West-David"/>
  </r>
  <r>
    <n v="1089"/>
    <d v="2023-07-17T00:00:00"/>
    <s v="Charlie"/>
    <x v="0"/>
    <n v="3438.35"/>
    <x v="17"/>
    <s v="Clothing"/>
    <n v="845.14"/>
    <n v="1001.77"/>
    <s v="New"/>
    <n v="0.03"/>
    <x v="0"/>
    <x v="0"/>
    <s v="North-Charlie"/>
  </r>
  <r>
    <n v="1099"/>
    <d v="2023-10-22T00:00:00"/>
    <s v="Bob"/>
    <x v="1"/>
    <n v="1514.14"/>
    <x v="8"/>
    <s v="Clothing"/>
    <n v="906.47"/>
    <n v="1283.04"/>
    <s v="New"/>
    <n v="0.24"/>
    <x v="0"/>
    <x v="0"/>
    <s v="West-Bob"/>
  </r>
  <r>
    <n v="1030"/>
    <d v="2023-11-15T00:00:00"/>
    <s v="Eve"/>
    <x v="3"/>
    <n v="6951.53"/>
    <x v="38"/>
    <s v="Clothing"/>
    <n v="1370.52"/>
    <n v="1482.58"/>
    <s v="Returning"/>
    <n v="0.2"/>
    <x v="2"/>
    <x v="1"/>
    <s v="East-Eve"/>
  </r>
  <r>
    <n v="1017"/>
    <d v="2023-10-29T00:00:00"/>
    <s v="Eve"/>
    <x v="3"/>
    <n v="2141.9"/>
    <x v="21"/>
    <s v="Furniture"/>
    <n v="641.67999999999995"/>
    <n v="752.24"/>
    <s v="New"/>
    <n v="0.22"/>
    <x v="1"/>
    <x v="0"/>
    <s v="East-Eve"/>
  </r>
  <r>
    <n v="1062"/>
    <d v="2023-12-10T00:00:00"/>
    <s v="David"/>
    <x v="1"/>
    <n v="3979.41"/>
    <x v="23"/>
    <s v="Electronics"/>
    <n v="1190.08"/>
    <n v="1292.9399999999901"/>
    <s v="Returning"/>
    <n v="0.13"/>
    <x v="0"/>
    <x v="1"/>
    <s v="West-David"/>
  </r>
  <r>
    <n v="1084"/>
    <d v="2023-01-11T00:00:00"/>
    <s v="Bob"/>
    <x v="3"/>
    <n v="8967.18"/>
    <x v="9"/>
    <s v="Clothing"/>
    <n v="576.74"/>
    <n v="648.29"/>
    <s v="Returning"/>
    <n v="0.2"/>
    <x v="1"/>
    <x v="0"/>
    <s v="East-Bob"/>
  </r>
  <r>
    <n v="1089"/>
    <d v="2023-03-03T00:00:00"/>
    <s v="Charlie"/>
    <x v="0"/>
    <n v="2122.73"/>
    <x v="41"/>
    <s v="Furniture"/>
    <n v="4117.67"/>
    <n v="4280.0600000000004"/>
    <s v="Returning"/>
    <n v="0.18"/>
    <x v="1"/>
    <x v="0"/>
    <s v="North-Charlie"/>
  </r>
  <r>
    <n v="1086"/>
    <d v="2023-11-29T00:00:00"/>
    <s v="Bob"/>
    <x v="1"/>
    <n v="5127.2700000000004"/>
    <x v="48"/>
    <s v="Food"/>
    <n v="737.9"/>
    <n v="1182"/>
    <s v="New"/>
    <n v="0.23"/>
    <x v="2"/>
    <x v="1"/>
    <s v="West-Bob"/>
  </r>
  <r>
    <n v="1013"/>
    <d v="2023-08-14T00:00:00"/>
    <s v="Alice"/>
    <x v="3"/>
    <n v="4250.79"/>
    <x v="42"/>
    <s v="Clothing"/>
    <n v="3749.12"/>
    <n v="4138.83"/>
    <s v="New"/>
    <n v="0.13"/>
    <x v="2"/>
    <x v="0"/>
    <s v="East-Alice"/>
  </r>
  <r>
    <n v="1059"/>
    <d v="2023-06-02T00:00:00"/>
    <s v="Bob"/>
    <x v="1"/>
    <n v="279.43"/>
    <x v="20"/>
    <s v="Furniture"/>
    <n v="287.17"/>
    <n v="657.44"/>
    <s v="Returning"/>
    <n v="0.14000000000000001"/>
    <x v="2"/>
    <x v="1"/>
    <s v="West-Bob"/>
  </r>
  <r>
    <n v="1019"/>
    <d v="2023-07-18T00:00:00"/>
    <s v="Alice"/>
    <x v="0"/>
    <n v="7948.31"/>
    <x v="26"/>
    <s v="Clothing"/>
    <n v="4745.18"/>
    <n v="5145.88"/>
    <s v="Returning"/>
    <n v="0.19"/>
    <x v="2"/>
    <x v="0"/>
    <s v="North-Alice"/>
  </r>
  <r>
    <n v="1049"/>
    <d v="2023-02-21T00:00:00"/>
    <s v="Alice"/>
    <x v="3"/>
    <n v="783.55"/>
    <x v="17"/>
    <s v="Electronics"/>
    <n v="3570.24"/>
    <n v="3712.25"/>
    <s v="New"/>
    <n v="0.03"/>
    <x v="2"/>
    <x v="0"/>
    <s v="East-Alice"/>
  </r>
  <r>
    <n v="1100"/>
    <d v="2023-09-17T00:00:00"/>
    <s v="Charlie"/>
    <x v="0"/>
    <n v="4795.12"/>
    <x v="1"/>
    <s v="Electronics"/>
    <n v="83.64"/>
    <n v="528.49"/>
    <s v="New"/>
    <n v="0.13"/>
    <x v="2"/>
    <x v="0"/>
    <s v="North-Charlie"/>
  </r>
  <r>
    <n v="1012"/>
    <d v="2023-02-28T00:00:00"/>
    <s v="David"/>
    <x v="3"/>
    <n v="5650.72"/>
    <x v="19"/>
    <s v="Food"/>
    <n v="3831.09"/>
    <n v="3908.37"/>
    <s v="New"/>
    <n v="0.28999999999999998"/>
    <x v="0"/>
    <x v="1"/>
    <s v="East-David"/>
  </r>
  <r>
    <n v="1061"/>
    <d v="2023-03-13T00:00:00"/>
    <s v="Bob"/>
    <x v="2"/>
    <n v="6321.42"/>
    <x v="23"/>
    <s v="Clothing"/>
    <n v="2594.71"/>
    <n v="2769.52"/>
    <s v="Returning"/>
    <n v="0.01"/>
    <x v="1"/>
    <x v="1"/>
    <s v="South-Bob"/>
  </r>
  <r>
    <n v="1019"/>
    <d v="2023-05-28T00:00:00"/>
    <s v="Alice"/>
    <x v="3"/>
    <n v="6917.45"/>
    <x v="40"/>
    <s v="Furniture"/>
    <n v="3907.86"/>
    <n v="4205.37"/>
    <s v="New"/>
    <n v="0.09"/>
    <x v="2"/>
    <x v="0"/>
    <s v="East-Alice"/>
  </r>
  <r>
    <n v="1076"/>
    <d v="2023-12-15T00:00:00"/>
    <s v="Bob"/>
    <x v="1"/>
    <n v="2607.4"/>
    <x v="5"/>
    <s v="Food"/>
    <n v="2636.36"/>
    <n v="2696.78"/>
    <s v="New"/>
    <n v="0.09"/>
    <x v="0"/>
    <x v="1"/>
    <s v="West-Bob"/>
  </r>
  <r>
    <n v="1009"/>
    <d v="2023-03-04T00:00:00"/>
    <s v="David"/>
    <x v="3"/>
    <n v="198.79"/>
    <x v="21"/>
    <s v="Clothing"/>
    <n v="3223.07"/>
    <n v="3590.83"/>
    <s v="New"/>
    <n v="0.19"/>
    <x v="1"/>
    <x v="1"/>
    <s v="East-David"/>
  </r>
  <r>
    <n v="1071"/>
    <d v="2023-11-06T00:00:00"/>
    <s v="David"/>
    <x v="0"/>
    <n v="7262.09"/>
    <x v="20"/>
    <s v="Food"/>
    <n v="3942.34"/>
    <n v="4142.09"/>
    <s v="Returning"/>
    <n v="0.03"/>
    <x v="2"/>
    <x v="1"/>
    <s v="North-David"/>
  </r>
  <r>
    <n v="1028"/>
    <d v="2023-08-31T00:00:00"/>
    <s v="Eve"/>
    <x v="0"/>
    <n v="5403"/>
    <x v="40"/>
    <s v="Furniture"/>
    <n v="2055.2800000000002"/>
    <n v="2449.64"/>
    <s v="New"/>
    <n v="0.19"/>
    <x v="2"/>
    <x v="0"/>
    <s v="North-Eve"/>
  </r>
  <r>
    <n v="1078"/>
    <d v="2024-01-01T00:00:00"/>
    <s v="David"/>
    <x v="3"/>
    <n v="8377.57"/>
    <x v="31"/>
    <s v="Food"/>
    <n v="63.41"/>
    <n v="314.93"/>
    <s v="Returning"/>
    <n v="0.03"/>
    <x v="0"/>
    <x v="1"/>
    <s v="East-David"/>
  </r>
  <r>
    <n v="1095"/>
    <d v="2023-11-26T00:00:00"/>
    <s v="Charlie"/>
    <x v="1"/>
    <n v="8231.74"/>
    <x v="48"/>
    <s v="Food"/>
    <n v="4257.24"/>
    <n v="4355.87"/>
    <s v="Returning"/>
    <n v="0.03"/>
    <x v="1"/>
    <x v="0"/>
    <s v="West-Charlie"/>
  </r>
  <r>
    <n v="1052"/>
    <d v="2023-04-17T00:00:00"/>
    <s v="Alice"/>
    <x v="2"/>
    <n v="8448.93"/>
    <x v="39"/>
    <s v="Food"/>
    <n v="1935.41"/>
    <n v="2305.44"/>
    <s v="Returning"/>
    <n v="0.22"/>
    <x v="2"/>
    <x v="0"/>
    <s v="South-Alice"/>
  </r>
  <r>
    <n v="1083"/>
    <d v="2023-08-14T00:00:00"/>
    <s v="Eve"/>
    <x v="1"/>
    <n v="4902.4399999999996"/>
    <x v="31"/>
    <s v="Clothing"/>
    <n v="2505.41"/>
    <n v="2638.96"/>
    <s v="New"/>
    <n v="0.1"/>
    <x v="1"/>
    <x v="0"/>
    <s v="West-Eve"/>
  </r>
  <r>
    <n v="1016"/>
    <d v="2023-11-09T00:00:00"/>
    <s v="Charlie"/>
    <x v="2"/>
    <n v="3402.92"/>
    <x v="38"/>
    <s v="Furniture"/>
    <n v="88.44"/>
    <n v="338.94"/>
    <s v="New"/>
    <n v="0.28999999999999998"/>
    <x v="0"/>
    <x v="0"/>
    <s v="South-Charlie"/>
  </r>
  <r>
    <n v="1069"/>
    <d v="2023-08-06T00:00:00"/>
    <s v="Bob"/>
    <x v="0"/>
    <n v="7936.43"/>
    <x v="41"/>
    <s v="Electronics"/>
    <n v="2485.86"/>
    <n v="2532.87"/>
    <s v="New"/>
    <n v="0.01"/>
    <x v="2"/>
    <x v="0"/>
    <s v="North-Bob"/>
  </r>
  <r>
    <n v="1099"/>
    <d v="2023-08-29T00:00:00"/>
    <s v="Alice"/>
    <x v="1"/>
    <n v="4567.8100000000004"/>
    <x v="16"/>
    <s v="Clothing"/>
    <n v="4933.1099999999997"/>
    <n v="5245.86"/>
    <s v="Returning"/>
    <n v="0.13"/>
    <x v="1"/>
    <x v="1"/>
    <s v="West-Alice"/>
  </r>
  <r>
    <n v="1012"/>
    <d v="2023-09-16T00:00:00"/>
    <s v="David"/>
    <x v="2"/>
    <n v="1916.08"/>
    <x v="12"/>
    <s v="Electronics"/>
    <n v="1427.42"/>
    <n v="1763.69"/>
    <s v="New"/>
    <n v="0.03"/>
    <x v="0"/>
    <x v="1"/>
    <s v="South-David"/>
  </r>
  <r>
    <n v="1025"/>
    <d v="2023-09-19T00:00:00"/>
    <s v="Alice"/>
    <x v="3"/>
    <n v="8564.24"/>
    <x v="42"/>
    <s v="Electronics"/>
    <n v="2007.32"/>
    <n v="2202.87"/>
    <s v="Returning"/>
    <n v="0.11"/>
    <x v="0"/>
    <x v="0"/>
    <s v="East-Alice"/>
  </r>
  <r>
    <n v="1052"/>
    <d v="2023-01-05T00:00:00"/>
    <s v="Bob"/>
    <x v="0"/>
    <n v="8837.34"/>
    <x v="23"/>
    <s v="Clothing"/>
    <n v="3451.59"/>
    <n v="3929.26"/>
    <s v="New"/>
    <n v="0.3"/>
    <x v="2"/>
    <x v="1"/>
    <s v="North-Bob"/>
  </r>
  <r>
    <n v="1085"/>
    <d v="2023-09-18T00:00:00"/>
    <s v="Eve"/>
    <x v="3"/>
    <n v="4716.47"/>
    <x v="11"/>
    <s v="Clothing"/>
    <n v="4083.23"/>
    <n v="4521.57"/>
    <s v="New"/>
    <n v="0.27"/>
    <x v="1"/>
    <x v="1"/>
    <s v="East-Eve"/>
  </r>
  <r>
    <n v="1100"/>
    <d v="2023-02-23T00:00:00"/>
    <s v="Eve"/>
    <x v="0"/>
    <n v="849.43"/>
    <x v="8"/>
    <s v="Furniture"/>
    <n v="2116.09"/>
    <n v="2472.98"/>
    <s v="New"/>
    <n v="0.01"/>
    <x v="2"/>
    <x v="1"/>
    <s v="North-Eve"/>
  </r>
  <r>
    <n v="1053"/>
    <d v="2023-02-16T00:00:00"/>
    <s v="Eve"/>
    <x v="1"/>
    <n v="3939.48"/>
    <x v="23"/>
    <s v="Furniture"/>
    <n v="1582.86"/>
    <n v="1942.55"/>
    <s v="New"/>
    <n v="0.17"/>
    <x v="2"/>
    <x v="1"/>
    <s v="West-Eve"/>
  </r>
  <r>
    <n v="1023"/>
    <d v="2023-08-03T00:00:00"/>
    <s v="David"/>
    <x v="1"/>
    <n v="8055.02"/>
    <x v="27"/>
    <s v="Food"/>
    <n v="4692.24"/>
    <n v="4825.92"/>
    <s v="Returning"/>
    <n v="0.19"/>
    <x v="1"/>
    <x v="1"/>
    <s v="West-David"/>
  </r>
  <r>
    <n v="1016"/>
    <d v="2023-06-26T00:00:00"/>
    <s v="Charlie"/>
    <x v="0"/>
    <n v="9027.56"/>
    <x v="45"/>
    <s v="Electronics"/>
    <n v="3401.87"/>
    <n v="3733.71"/>
    <s v="Returning"/>
    <n v="0.06"/>
    <x v="1"/>
    <x v="1"/>
    <s v="North-Charlie"/>
  </r>
  <r>
    <n v="1057"/>
    <d v="2023-01-09T00:00:00"/>
    <s v="Charlie"/>
    <x v="0"/>
    <n v="2114.38"/>
    <x v="26"/>
    <s v="Furniture"/>
    <n v="639.16"/>
    <n v="746.28"/>
    <s v="Returning"/>
    <n v="0.04"/>
    <x v="1"/>
    <x v="1"/>
    <s v="North-Charlie"/>
  </r>
  <r>
    <n v="1039"/>
    <d v="2023-04-09T00:00:00"/>
    <s v="Alice"/>
    <x v="0"/>
    <n v="763.04"/>
    <x v="45"/>
    <s v="Food"/>
    <n v="391.19"/>
    <n v="471.75"/>
    <s v="Returning"/>
    <n v="0.27"/>
    <x v="0"/>
    <x v="0"/>
    <s v="North-Alice"/>
  </r>
  <r>
    <n v="1053"/>
    <d v="2023-01-20T00:00:00"/>
    <s v="David"/>
    <x v="1"/>
    <n v="8785.77"/>
    <x v="31"/>
    <s v="Furniture"/>
    <n v="2443.5700000000002"/>
    <n v="2943.31"/>
    <s v="New"/>
    <n v="0.28999999999999998"/>
    <x v="0"/>
    <x v="0"/>
    <s v="West-David"/>
  </r>
  <r>
    <n v="1042"/>
    <d v="2023-08-29T00:00:00"/>
    <s v="Eve"/>
    <x v="2"/>
    <n v="3955.11"/>
    <x v="30"/>
    <s v="Clothing"/>
    <n v="1139.45"/>
    <n v="1454.41"/>
    <s v="Returning"/>
    <n v="0.3"/>
    <x v="1"/>
    <x v="0"/>
    <s v="South-Eve"/>
  </r>
  <r>
    <n v="1058"/>
    <d v="2023-03-02T00:00:00"/>
    <s v="Eve"/>
    <x v="3"/>
    <n v="5463.43"/>
    <x v="37"/>
    <s v="Furniture"/>
    <n v="1307.22"/>
    <n v="1528.4"/>
    <s v="Returning"/>
    <n v="0.24"/>
    <x v="0"/>
    <x v="1"/>
    <s v="East-Eve"/>
  </r>
  <r>
    <n v="1039"/>
    <d v="2023-06-27T00:00:00"/>
    <s v="Bob"/>
    <x v="3"/>
    <n v="9683.85"/>
    <x v="39"/>
    <s v="Electronics"/>
    <n v="4394.58"/>
    <n v="4545.78"/>
    <s v="Returning"/>
    <n v="0.2"/>
    <x v="2"/>
    <x v="1"/>
    <s v="East-Bob"/>
  </r>
  <r>
    <n v="1014"/>
    <d v="2023-12-04T00:00:00"/>
    <s v="Bob"/>
    <x v="1"/>
    <n v="758.99"/>
    <x v="37"/>
    <s v="Furniture"/>
    <n v="493.35"/>
    <n v="799.27"/>
    <s v="New"/>
    <n v="0.1"/>
    <x v="1"/>
    <x v="0"/>
    <s v="West-Bob"/>
  </r>
  <r>
    <n v="1095"/>
    <d v="2023-03-03T00:00:00"/>
    <s v="Eve"/>
    <x v="3"/>
    <n v="6518.35"/>
    <x v="25"/>
    <s v="Electronics"/>
    <n v="3591.05"/>
    <n v="3625.35"/>
    <s v="Returning"/>
    <n v="0.05"/>
    <x v="2"/>
    <x v="1"/>
    <s v="East-Eve"/>
  </r>
  <r>
    <n v="1005"/>
    <d v="2023-05-25T00:00:00"/>
    <s v="Eve"/>
    <x v="0"/>
    <n v="833.64"/>
    <x v="39"/>
    <s v="Clothing"/>
    <n v="1392.15"/>
    <n v="1448.54"/>
    <s v="Returning"/>
    <n v="0.02"/>
    <x v="1"/>
    <x v="1"/>
    <s v="North-Eve"/>
  </r>
  <r>
    <n v="1035"/>
    <d v="2023-08-04T00:00:00"/>
    <s v="David"/>
    <x v="2"/>
    <n v="3817.14"/>
    <x v="2"/>
    <s v="Electronics"/>
    <n v="3813.62"/>
    <n v="3839.72"/>
    <s v="New"/>
    <n v="0.21"/>
    <x v="2"/>
    <x v="0"/>
    <s v="South-David"/>
  </r>
  <r>
    <n v="1087"/>
    <d v="2023-01-03T00:00:00"/>
    <s v="Charlie"/>
    <x v="3"/>
    <n v="8057.76"/>
    <x v="46"/>
    <s v="Furniture"/>
    <n v="3625.94"/>
    <n v="3880.53"/>
    <s v="New"/>
    <n v="0.24"/>
    <x v="1"/>
    <x v="0"/>
    <s v="East-Charlie"/>
  </r>
  <r>
    <n v="1093"/>
    <d v="2023-06-09T00:00:00"/>
    <s v="Bob"/>
    <x v="2"/>
    <n v="4391.38"/>
    <x v="34"/>
    <s v="Food"/>
    <n v="86.59"/>
    <n v="390.89"/>
    <s v="Returning"/>
    <n v="0.25"/>
    <x v="2"/>
    <x v="0"/>
    <s v="South-Bob"/>
  </r>
  <r>
    <n v="1075"/>
    <d v="2023-08-15T00:00:00"/>
    <s v="Charlie"/>
    <x v="0"/>
    <n v="9972.11"/>
    <x v="40"/>
    <s v="Clothing"/>
    <n v="2570.2199999999998"/>
    <n v="2610.8399999999901"/>
    <s v="Returning"/>
    <n v="0.27"/>
    <x v="1"/>
    <x v="1"/>
    <s v="North-Charlie"/>
  </r>
  <r>
    <n v="1018"/>
    <d v="2023-09-26T00:00:00"/>
    <s v="David"/>
    <x v="3"/>
    <n v="5634.69"/>
    <x v="44"/>
    <s v="Furniture"/>
    <n v="739.63"/>
    <n v="1103.03"/>
    <s v="New"/>
    <n v="0.26"/>
    <x v="1"/>
    <x v="1"/>
    <s v="East-David"/>
  </r>
  <r>
    <n v="1076"/>
    <d v="2023-04-30T00:00:00"/>
    <s v="Eve"/>
    <x v="1"/>
    <n v="3279.51"/>
    <x v="5"/>
    <s v="Clothing"/>
    <n v="4337.82"/>
    <n v="4460.71"/>
    <s v="Returning"/>
    <n v="0.3"/>
    <x v="0"/>
    <x v="1"/>
    <s v="West-Eve"/>
  </r>
  <r>
    <n v="1009"/>
    <d v="2023-03-30T00:00:00"/>
    <s v="Charlie"/>
    <x v="2"/>
    <n v="2279.1"/>
    <x v="15"/>
    <s v="Clothing"/>
    <n v="4364.3500000000004"/>
    <n v="4710.1000000000004"/>
    <s v="New"/>
    <n v="7.0000000000000007E-2"/>
    <x v="2"/>
    <x v="0"/>
    <s v="South-Charlie"/>
  </r>
  <r>
    <n v="1074"/>
    <d v="2023-11-25T00:00:00"/>
    <s v="Eve"/>
    <x v="0"/>
    <n v="3570.15"/>
    <x v="31"/>
    <s v="Furniture"/>
    <n v="2120.81"/>
    <n v="2611.94"/>
    <s v="Returning"/>
    <n v="0.23"/>
    <x v="0"/>
    <x v="0"/>
    <s v="North-Eve"/>
  </r>
  <r>
    <n v="1058"/>
    <d v="2023-03-09T00:00:00"/>
    <s v="Eve"/>
    <x v="2"/>
    <n v="3788.08"/>
    <x v="11"/>
    <s v="Furniture"/>
    <n v="2249.7600000000002"/>
    <n v="2598.4"/>
    <s v="Returning"/>
    <n v="0.18"/>
    <x v="2"/>
    <x v="1"/>
    <s v="South-Eve"/>
  </r>
  <r>
    <n v="1017"/>
    <d v="2023-12-23T00:00:00"/>
    <s v="Alice"/>
    <x v="3"/>
    <n v="780.27"/>
    <x v="19"/>
    <s v="Food"/>
    <n v="1551.25"/>
    <n v="1994.01"/>
    <s v="Returning"/>
    <n v="0.08"/>
    <x v="0"/>
    <x v="0"/>
    <s v="East-Alice"/>
  </r>
  <r>
    <n v="1007"/>
    <d v="2023-04-08T00:00:00"/>
    <s v="Charlie"/>
    <x v="3"/>
    <n v="3758.78"/>
    <x v="4"/>
    <s v="Clothing"/>
    <n v="3597.2"/>
    <n v="4071.8199999999902"/>
    <s v="Returning"/>
    <n v="0.28999999999999998"/>
    <x v="1"/>
    <x v="0"/>
    <s v="East-Charlie"/>
  </r>
  <r>
    <n v="1046"/>
    <d v="2023-09-24T00:00:00"/>
    <s v="Charlie"/>
    <x v="1"/>
    <n v="4695.96"/>
    <x v="36"/>
    <s v="Clothing"/>
    <n v="1825.37"/>
    <n v="2073.88"/>
    <s v="Returning"/>
    <n v="0.27"/>
    <x v="0"/>
    <x v="1"/>
    <s v="West-Charlie"/>
  </r>
  <r>
    <n v="1013"/>
    <d v="2023-04-15T00:00:00"/>
    <s v="Eve"/>
    <x v="0"/>
    <n v="7255.1"/>
    <x v="31"/>
    <s v="Furniture"/>
    <n v="1375.57"/>
    <n v="1729.71"/>
    <s v="New"/>
    <n v="0.04"/>
    <x v="0"/>
    <x v="0"/>
    <s v="North-Eve"/>
  </r>
  <r>
    <n v="1040"/>
    <d v="2023-11-19T00:00:00"/>
    <s v="David"/>
    <x v="0"/>
    <n v="6601.62"/>
    <x v="20"/>
    <s v="Electronics"/>
    <n v="2189.54"/>
    <n v="2617"/>
    <s v="New"/>
    <n v="0.01"/>
    <x v="1"/>
    <x v="0"/>
    <s v="North-David"/>
  </r>
  <r>
    <n v="1042"/>
    <d v="2023-05-03T00:00:00"/>
    <s v="Alice"/>
    <x v="1"/>
    <n v="7116.78"/>
    <x v="35"/>
    <s v="Furniture"/>
    <n v="502.86"/>
    <n v="687.6"/>
    <s v="Returning"/>
    <n v="0.21"/>
    <x v="0"/>
    <x v="0"/>
    <s v="West-Alice"/>
  </r>
  <r>
    <n v="1009"/>
    <d v="2023-01-29T00:00:00"/>
    <s v="Eve"/>
    <x v="1"/>
    <n v="182.8"/>
    <x v="25"/>
    <s v="Clothing"/>
    <n v="3745.69"/>
    <n v="3883.77"/>
    <s v="Returning"/>
    <n v="0.18"/>
    <x v="1"/>
    <x v="1"/>
    <s v="West-Eve"/>
  </r>
  <r>
    <n v="1050"/>
    <d v="2023-05-17T00:00:00"/>
    <s v="Bob"/>
    <x v="0"/>
    <n v="2254.91"/>
    <x v="27"/>
    <s v="Furniture"/>
    <n v="112.35"/>
    <n v="586.17999999999995"/>
    <s v="Returning"/>
    <n v="0.28000000000000003"/>
    <x v="2"/>
    <x v="1"/>
    <s v="North-Bob"/>
  </r>
  <r>
    <n v="1027"/>
    <d v="2023-07-14T00:00:00"/>
    <s v="Bob"/>
    <x v="2"/>
    <n v="6650.67"/>
    <x v="33"/>
    <s v="Food"/>
    <n v="3240.2"/>
    <n v="3606.0899999999901"/>
    <s v="New"/>
    <n v="7.0000000000000007E-2"/>
    <x v="0"/>
    <x v="0"/>
    <s v="South-Bob"/>
  </r>
  <r>
    <n v="1066"/>
    <d v="2023-08-14T00:00:00"/>
    <s v="Alice"/>
    <x v="2"/>
    <n v="4891.49"/>
    <x v="46"/>
    <s v="Electronics"/>
    <n v="955.18"/>
    <n v="1072.82"/>
    <s v="New"/>
    <n v="0.03"/>
    <x v="1"/>
    <x v="1"/>
    <s v="South-Alice"/>
  </r>
  <r>
    <n v="1005"/>
    <d v="2023-11-28T00:00:00"/>
    <s v="David"/>
    <x v="1"/>
    <n v="152.6"/>
    <x v="8"/>
    <s v="Furniture"/>
    <n v="1200.4000000000001"/>
    <n v="1430.45"/>
    <s v="New"/>
    <n v="0.08"/>
    <x v="1"/>
    <x v="1"/>
    <s v="West-David"/>
  </r>
  <r>
    <n v="1029"/>
    <d v="2023-06-19T00:00:00"/>
    <s v="Eve"/>
    <x v="2"/>
    <n v="8064.5"/>
    <x v="30"/>
    <s v="Food"/>
    <n v="3196.38"/>
    <n v="3596.64"/>
    <s v="New"/>
    <n v="0.01"/>
    <x v="0"/>
    <x v="1"/>
    <s v="South-Eve"/>
  </r>
  <r>
    <n v="1037"/>
    <d v="2023-01-09T00:00:00"/>
    <s v="Charlie"/>
    <x v="0"/>
    <n v="7750.81"/>
    <x v="36"/>
    <s v="Clothing"/>
    <n v="4965.07"/>
    <n v="5243.13"/>
    <s v="New"/>
    <n v="0.01"/>
    <x v="2"/>
    <x v="0"/>
    <s v="North-Charlie"/>
  </r>
  <r>
    <n v="1038"/>
    <d v="2023-02-09T00:00:00"/>
    <s v="Alice"/>
    <x v="3"/>
    <n v="5529.35"/>
    <x v="25"/>
    <s v="Furniture"/>
    <n v="3899.7"/>
    <n v="4228.18"/>
    <s v="New"/>
    <n v="0.27"/>
    <x v="0"/>
    <x v="1"/>
    <s v="East-Alice"/>
  </r>
  <r>
    <n v="1083"/>
    <d v="2023-01-25T00:00:00"/>
    <s v="David"/>
    <x v="3"/>
    <n v="757.99"/>
    <x v="24"/>
    <s v="Clothing"/>
    <n v="1167.9100000000001"/>
    <n v="1547.26"/>
    <s v="New"/>
    <n v="0.11"/>
    <x v="1"/>
    <x v="0"/>
    <s v="East-David"/>
  </r>
  <r>
    <n v="1008"/>
    <d v="2023-09-18T00:00:00"/>
    <s v="Charlie"/>
    <x v="2"/>
    <n v="7688.5"/>
    <x v="5"/>
    <s v="Food"/>
    <n v="921.32"/>
    <n v="1236.0999999999999"/>
    <s v="New"/>
    <n v="0.12"/>
    <x v="2"/>
    <x v="0"/>
    <s v="South-Charlie"/>
  </r>
  <r>
    <n v="1065"/>
    <d v="2023-08-14T00:00:00"/>
    <s v="Bob"/>
    <x v="1"/>
    <n v="5878.76"/>
    <x v="42"/>
    <s v="Clothing"/>
    <n v="4337.8500000000004"/>
    <n v="4612.49"/>
    <s v="Returning"/>
    <n v="0.01"/>
    <x v="0"/>
    <x v="1"/>
    <s v="West-Bob"/>
  </r>
  <r>
    <n v="1086"/>
    <d v="2023-05-04T00:00:00"/>
    <s v="Bob"/>
    <x v="1"/>
    <n v="7841.4"/>
    <x v="44"/>
    <s v="Food"/>
    <n v="2248.71"/>
    <n v="2626.02"/>
    <s v="New"/>
    <n v="0.08"/>
    <x v="1"/>
    <x v="0"/>
    <s v="West-Bob"/>
  </r>
  <r>
    <n v="1017"/>
    <d v="2023-02-07T00:00:00"/>
    <s v="Charlie"/>
    <x v="1"/>
    <n v="7542.3"/>
    <x v="39"/>
    <s v="Food"/>
    <n v="728.41"/>
    <n v="1094.92"/>
    <s v="New"/>
    <n v="0.24"/>
    <x v="0"/>
    <x v="1"/>
    <s v="West-Charlie"/>
  </r>
  <r>
    <n v="1071"/>
    <d v="2023-11-24T00:00:00"/>
    <s v="Alice"/>
    <x v="1"/>
    <n v="8049.72"/>
    <x v="26"/>
    <s v="Food"/>
    <n v="4317.95"/>
    <n v="4636.59"/>
    <s v="New"/>
    <n v="0.18"/>
    <x v="2"/>
    <x v="1"/>
    <s v="West-Alice"/>
  </r>
  <r>
    <n v="1089"/>
    <d v="2023-09-08T00:00:00"/>
    <s v="Bob"/>
    <x v="1"/>
    <n v="5228.28"/>
    <x v="11"/>
    <s v="Furniture"/>
    <n v="4089.66"/>
    <n v="4275.96"/>
    <s v="New"/>
    <n v="0.23"/>
    <x v="2"/>
    <x v="0"/>
    <s v="West-Bob"/>
  </r>
  <r>
    <n v="1045"/>
    <d v="2023-06-25T00:00:00"/>
    <s v="Eve"/>
    <x v="2"/>
    <n v="1489.21"/>
    <x v="14"/>
    <s v="Clothing"/>
    <n v="4920.34"/>
    <n v="5129.1899999999996"/>
    <s v="Returning"/>
    <n v="0.13"/>
    <x v="2"/>
    <x v="0"/>
    <s v="South-Eve"/>
  </r>
  <r>
    <n v="1004"/>
    <d v="2023-03-31T00:00:00"/>
    <s v="Charlie"/>
    <x v="3"/>
    <n v="6744.46"/>
    <x v="26"/>
    <s v="Clothing"/>
    <n v="4553.2299999999996"/>
    <n v="5038.74"/>
    <s v="New"/>
    <n v="0.09"/>
    <x v="2"/>
    <x v="1"/>
    <s v="East-Charlie"/>
  </r>
  <r>
    <n v="1036"/>
    <d v="2023-02-06T00:00:00"/>
    <s v="Charlie"/>
    <x v="3"/>
    <n v="6242.69"/>
    <x v="42"/>
    <s v="Electronics"/>
    <n v="4266.3599999999997"/>
    <n v="4331.4299999999903"/>
    <s v="Returning"/>
    <n v="0.14000000000000001"/>
    <x v="2"/>
    <x v="1"/>
    <s v="East-Charlie"/>
  </r>
  <r>
    <n v="1070"/>
    <d v="2023-11-12T00:00:00"/>
    <s v="Bob"/>
    <x v="2"/>
    <n v="7448.31"/>
    <x v="14"/>
    <s v="Electronics"/>
    <n v="310.24"/>
    <n v="451.81"/>
    <s v="Returning"/>
    <n v="0.1"/>
    <x v="0"/>
    <x v="1"/>
    <s v="South-Bob"/>
  </r>
  <r>
    <n v="1031"/>
    <d v="2023-06-25T00:00:00"/>
    <s v="Alice"/>
    <x v="1"/>
    <n v="1781.82"/>
    <x v="15"/>
    <s v="Electronics"/>
    <n v="566.86"/>
    <n v="818.14"/>
    <s v="Returning"/>
    <n v="0.25"/>
    <x v="2"/>
    <x v="1"/>
    <s v="West-Alice"/>
  </r>
  <r>
    <n v="1019"/>
    <d v="2023-10-11T00:00:00"/>
    <s v="Eve"/>
    <x v="2"/>
    <n v="2030.25"/>
    <x v="5"/>
    <s v="Electronics"/>
    <n v="2866.47"/>
    <n v="3286.47"/>
    <s v="New"/>
    <n v="0.09"/>
    <x v="2"/>
    <x v="0"/>
    <s v="South-Eve"/>
  </r>
  <r>
    <n v="1061"/>
    <d v="2023-03-22T00:00:00"/>
    <s v="Alice"/>
    <x v="3"/>
    <n v="8915.0499999999993"/>
    <x v="24"/>
    <s v="Clothing"/>
    <n v="2680.82"/>
    <n v="2771.02"/>
    <s v="New"/>
    <n v="0.2"/>
    <x v="1"/>
    <x v="0"/>
    <s v="East-Alice"/>
  </r>
  <r>
    <n v="1054"/>
    <d v="2023-04-24T00:00:00"/>
    <s v="David"/>
    <x v="0"/>
    <n v="7524.78"/>
    <x v="10"/>
    <s v="Food"/>
    <n v="2316.92"/>
    <n v="2462.63"/>
    <s v="New"/>
    <n v="0.04"/>
    <x v="2"/>
    <x v="0"/>
    <s v="North-David"/>
  </r>
  <r>
    <n v="1039"/>
    <d v="2023-02-09T00:00:00"/>
    <s v="David"/>
    <x v="2"/>
    <n v="9091.4599999999991"/>
    <x v="46"/>
    <s v="Food"/>
    <n v="2014.11"/>
    <n v="2056.35"/>
    <s v="Returning"/>
    <n v="0.21"/>
    <x v="1"/>
    <x v="1"/>
    <s v="South-David"/>
  </r>
  <r>
    <n v="1091"/>
    <d v="2023-10-28T00:00:00"/>
    <s v="Bob"/>
    <x v="1"/>
    <n v="7611.28"/>
    <x v="3"/>
    <s v="Furniture"/>
    <n v="2184.4899999999998"/>
    <n v="2540.4199999999901"/>
    <s v="Returning"/>
    <n v="0.27"/>
    <x v="1"/>
    <x v="0"/>
    <s v="West-Bob"/>
  </r>
  <r>
    <n v="1074"/>
    <d v="2023-08-12T00:00:00"/>
    <s v="Bob"/>
    <x v="3"/>
    <n v="6011.84"/>
    <x v="39"/>
    <s v="Food"/>
    <n v="2868.02"/>
    <n v="2994.74"/>
    <s v="Returning"/>
    <n v="0.18"/>
    <x v="1"/>
    <x v="0"/>
    <s v="East-Bob"/>
  </r>
  <r>
    <n v="1090"/>
    <d v="2023-11-14T00:00:00"/>
    <s v="Bob"/>
    <x v="3"/>
    <n v="6575.91"/>
    <x v="21"/>
    <s v="Clothing"/>
    <n v="60.28"/>
    <n v="260.73"/>
    <s v="Returning"/>
    <n v="0.17"/>
    <x v="0"/>
    <x v="0"/>
    <s v="East-Bob"/>
  </r>
  <r>
    <n v="1019"/>
    <d v="2023-12-15T00:00:00"/>
    <s v="David"/>
    <x v="3"/>
    <n v="8902.3700000000008"/>
    <x v="43"/>
    <s v="Clothing"/>
    <n v="1340.51"/>
    <n v="1567.92"/>
    <s v="New"/>
    <n v="0.28999999999999998"/>
    <x v="0"/>
    <x v="0"/>
    <s v="East-David"/>
  </r>
  <r>
    <n v="1039"/>
    <d v="2023-04-25T00:00:00"/>
    <s v="Alice"/>
    <x v="3"/>
    <n v="5830.19"/>
    <x v="38"/>
    <s v="Clothing"/>
    <n v="2615.48"/>
    <n v="3062.22"/>
    <s v="New"/>
    <n v="0.19"/>
    <x v="1"/>
    <x v="1"/>
    <s v="East-Alice"/>
  </r>
  <r>
    <n v="1067"/>
    <d v="2023-07-05T00:00:00"/>
    <s v="Alice"/>
    <x v="1"/>
    <n v="6360.67"/>
    <x v="30"/>
    <s v="Furniture"/>
    <n v="3624.97"/>
    <n v="3836.52"/>
    <s v="New"/>
    <n v="0.08"/>
    <x v="0"/>
    <x v="0"/>
    <s v="West-Alice"/>
  </r>
  <r>
    <n v="1045"/>
    <d v="2023-11-19T00:00:00"/>
    <s v="Bob"/>
    <x v="0"/>
    <n v="1649.12"/>
    <x v="39"/>
    <s v="Electronics"/>
    <n v="912.08"/>
    <n v="993.24"/>
    <s v="Returning"/>
    <n v="0.09"/>
    <x v="2"/>
    <x v="0"/>
    <s v="North-Bob"/>
  </r>
  <r>
    <n v="1013"/>
    <d v="2023-02-25T00:00:00"/>
    <s v="Eve"/>
    <x v="3"/>
    <n v="4791.82"/>
    <x v="17"/>
    <s v="Food"/>
    <n v="2757.06"/>
    <n v="3023.97"/>
    <s v="Returning"/>
    <n v="0.21"/>
    <x v="0"/>
    <x v="0"/>
    <s v="East-Eve"/>
  </r>
  <r>
    <n v="1092"/>
    <d v="2023-02-09T00:00:00"/>
    <s v="Alice"/>
    <x v="2"/>
    <n v="7192.33"/>
    <x v="28"/>
    <s v="Clothing"/>
    <n v="3586.58"/>
    <n v="4068.43"/>
    <s v="New"/>
    <n v="0.22"/>
    <x v="2"/>
    <x v="0"/>
    <s v="South-Alice"/>
  </r>
  <r>
    <n v="1058"/>
    <d v="2023-12-20T00:00:00"/>
    <s v="David"/>
    <x v="0"/>
    <n v="2782.33"/>
    <x v="39"/>
    <s v="Clothing"/>
    <n v="2250.91"/>
    <n v="2558.6799999999998"/>
    <s v="New"/>
    <n v="0.09"/>
    <x v="2"/>
    <x v="1"/>
    <s v="North-David"/>
  </r>
  <r>
    <n v="1020"/>
    <d v="2023-02-09T00:00:00"/>
    <s v="Charlie"/>
    <x v="3"/>
    <n v="2102.3200000000002"/>
    <x v="6"/>
    <s v="Electronics"/>
    <n v="184.05"/>
    <n v="675.91"/>
    <s v="Returning"/>
    <n v="0.1"/>
    <x v="0"/>
    <x v="1"/>
    <s v="East-Charlie"/>
  </r>
  <r>
    <n v="1092"/>
    <d v="2023-12-13T00:00:00"/>
    <s v="Charlie"/>
    <x v="0"/>
    <n v="3206.89"/>
    <x v="13"/>
    <s v="Clothing"/>
    <n v="2273.88"/>
    <n v="2696.02"/>
    <s v="New"/>
    <n v="0.3"/>
    <x v="0"/>
    <x v="0"/>
    <s v="North-Charlie"/>
  </r>
  <r>
    <n v="1072"/>
    <d v="2023-08-25T00:00:00"/>
    <s v="Charlie"/>
    <x v="2"/>
    <n v="2490.86"/>
    <x v="26"/>
    <s v="Food"/>
    <n v="1517.4"/>
    <n v="1545.02"/>
    <s v="New"/>
    <n v="0.03"/>
    <x v="1"/>
    <x v="1"/>
    <s v="South-Charlie"/>
  </r>
  <r>
    <n v="1061"/>
    <d v="2023-10-16T00:00:00"/>
    <s v="Eve"/>
    <x v="3"/>
    <n v="2227.64"/>
    <x v="35"/>
    <s v="Furniture"/>
    <n v="4651.7700000000004"/>
    <n v="4984.3900000000003"/>
    <s v="Returning"/>
    <n v="0.12"/>
    <x v="0"/>
    <x v="1"/>
    <s v="East-Eve"/>
  </r>
  <r>
    <n v="1039"/>
    <d v="2023-09-19T00:00:00"/>
    <s v="Bob"/>
    <x v="2"/>
    <n v="4306.0200000000004"/>
    <x v="40"/>
    <s v="Clothing"/>
    <n v="666.84"/>
    <n v="817.36"/>
    <s v="Returning"/>
    <n v="0.02"/>
    <x v="0"/>
    <x v="1"/>
    <s v="South-Bob"/>
  </r>
  <r>
    <n v="1001"/>
    <d v="2023-08-04T00:00:00"/>
    <s v="David"/>
    <x v="1"/>
    <n v="9087.6"/>
    <x v="46"/>
    <s v="Food"/>
    <n v="3279.76"/>
    <n v="3563.97"/>
    <s v="Returning"/>
    <n v="0.25"/>
    <x v="0"/>
    <x v="1"/>
    <s v="West-David"/>
  </r>
  <r>
    <n v="1003"/>
    <d v="2023-05-27T00:00:00"/>
    <s v="Eve"/>
    <x v="3"/>
    <n v="5119.8900000000003"/>
    <x v="3"/>
    <s v="Clothing"/>
    <n v="310.95999999999998"/>
    <n v="457.84"/>
    <s v="New"/>
    <n v="0.03"/>
    <x v="2"/>
    <x v="0"/>
    <s v="East-Eve"/>
  </r>
  <r>
    <n v="1077"/>
    <d v="2023-12-02T00:00:00"/>
    <s v="David"/>
    <x v="3"/>
    <n v="1960.41"/>
    <x v="38"/>
    <s v="Electronics"/>
    <n v="2258.54"/>
    <n v="2439.4899999999998"/>
    <s v="Returning"/>
    <n v="0.2"/>
    <x v="2"/>
    <x v="1"/>
    <s v="East-David"/>
  </r>
  <r>
    <n v="1092"/>
    <d v="2023-06-17T00:00:00"/>
    <s v="David"/>
    <x v="3"/>
    <n v="862.02"/>
    <x v="9"/>
    <s v="Clothing"/>
    <n v="2792.2"/>
    <n v="3254.5499999999902"/>
    <s v="New"/>
    <n v="0.02"/>
    <x v="2"/>
    <x v="1"/>
    <s v="East-David"/>
  </r>
  <r>
    <n v="1062"/>
    <d v="2023-04-02T00:00:00"/>
    <s v="Bob"/>
    <x v="3"/>
    <n v="6991.95"/>
    <x v="15"/>
    <s v="Clothing"/>
    <n v="1524.88"/>
    <n v="1636.14"/>
    <s v="New"/>
    <n v="0.2"/>
    <x v="1"/>
    <x v="0"/>
    <s v="East-Bob"/>
  </r>
  <r>
    <n v="1063"/>
    <d v="2023-12-19T00:00:00"/>
    <s v="Charlie"/>
    <x v="1"/>
    <n v="3889.71"/>
    <x v="7"/>
    <s v="Furniture"/>
    <n v="2302.62"/>
    <n v="2740.93"/>
    <s v="Returning"/>
    <n v="0.25"/>
    <x v="1"/>
    <x v="0"/>
    <s v="West-Charlie"/>
  </r>
  <r>
    <n v="1025"/>
    <d v="2023-02-28T00:00:00"/>
    <s v="Bob"/>
    <x v="3"/>
    <n v="8236.1299999999992"/>
    <x v="28"/>
    <s v="Electronics"/>
    <n v="859.59"/>
    <n v="884.51"/>
    <s v="New"/>
    <n v="0.12"/>
    <x v="1"/>
    <x v="0"/>
    <s v="East-Bob"/>
  </r>
  <r>
    <n v="1056"/>
    <d v="2023-02-28T00:00:00"/>
    <s v="Eve"/>
    <x v="0"/>
    <n v="6629.16"/>
    <x v="35"/>
    <s v="Electronics"/>
    <n v="1555.41"/>
    <n v="1609.94"/>
    <s v="Returning"/>
    <n v="0.16"/>
    <x v="2"/>
    <x v="0"/>
    <s v="North-Eve"/>
  </r>
  <r>
    <n v="1033"/>
    <d v="2023-10-31T00:00:00"/>
    <s v="Eve"/>
    <x v="3"/>
    <n v="7982.79"/>
    <x v="0"/>
    <s v="Furniture"/>
    <n v="3124.48"/>
    <n v="3553.27"/>
    <s v="Returning"/>
    <n v="0.12"/>
    <x v="0"/>
    <x v="1"/>
    <s v="East-Eve"/>
  </r>
  <r>
    <n v="1038"/>
    <d v="2023-06-18T00:00:00"/>
    <s v="Eve"/>
    <x v="1"/>
    <n v="2792.27"/>
    <x v="38"/>
    <s v="Clothing"/>
    <n v="1543.91"/>
    <n v="1862.88"/>
    <s v="New"/>
    <n v="0.09"/>
    <x v="1"/>
    <x v="0"/>
    <s v="West-Eve"/>
  </r>
  <r>
    <n v="1006"/>
    <d v="2023-09-26T00:00:00"/>
    <s v="Bob"/>
    <x v="3"/>
    <n v="6954.35"/>
    <x v="28"/>
    <s v="Food"/>
    <n v="4503.7299999999996"/>
    <n v="4879.8799999999901"/>
    <s v="New"/>
    <n v="0.24"/>
    <x v="1"/>
    <x v="1"/>
    <s v="East-Bob"/>
  </r>
  <r>
    <n v="1058"/>
    <d v="2023-12-29T00:00:00"/>
    <s v="David"/>
    <x v="0"/>
    <n v="2714.21"/>
    <x v="24"/>
    <s v="Electronics"/>
    <n v="3160.61"/>
    <n v="3273.22"/>
    <s v="Returning"/>
    <n v="0.08"/>
    <x v="2"/>
    <x v="1"/>
    <s v="North-David"/>
  </r>
  <r>
    <n v="1044"/>
    <d v="2023-02-14T00:00:00"/>
    <s v="David"/>
    <x v="1"/>
    <n v="9396.7800000000007"/>
    <x v="26"/>
    <s v="Electronics"/>
    <n v="2221.31"/>
    <n v="2494.48"/>
    <s v="Returning"/>
    <n v="0.22"/>
    <x v="1"/>
    <x v="0"/>
    <s v="West-David"/>
  </r>
  <r>
    <n v="1045"/>
    <d v="2023-12-11T00:00:00"/>
    <s v="Alice"/>
    <x v="1"/>
    <n v="6400.11"/>
    <x v="33"/>
    <s v="Clothing"/>
    <n v="241.85"/>
    <n v="613.09"/>
    <s v="Returning"/>
    <n v="0.06"/>
    <x v="0"/>
    <x v="0"/>
    <s v="West-Alice"/>
  </r>
  <r>
    <n v="1032"/>
    <d v="2023-06-30T00:00:00"/>
    <s v="Eve"/>
    <x v="0"/>
    <n v="3312.67"/>
    <x v="32"/>
    <s v="Clothing"/>
    <n v="2522.7600000000002"/>
    <n v="2840.14"/>
    <s v="Returning"/>
    <n v="7.0000000000000007E-2"/>
    <x v="2"/>
    <x v="1"/>
    <s v="North-Eve"/>
  </r>
  <r>
    <n v="1045"/>
    <d v="2023-06-19T00:00:00"/>
    <s v="David"/>
    <x v="0"/>
    <n v="2768.17"/>
    <x v="43"/>
    <s v="Electronics"/>
    <n v="3835.64"/>
    <n v="4076.77"/>
    <s v="Returning"/>
    <n v="0.1"/>
    <x v="2"/>
    <x v="1"/>
    <s v="North-David"/>
  </r>
  <r>
    <n v="1061"/>
    <d v="2023-12-22T00:00:00"/>
    <s v="Alice"/>
    <x v="0"/>
    <n v="1990.17"/>
    <x v="27"/>
    <s v="Clothing"/>
    <n v="1364.51"/>
    <n v="1844.8"/>
    <s v="Returning"/>
    <n v="0.18"/>
    <x v="0"/>
    <x v="0"/>
    <s v="North-Alice"/>
  </r>
  <r>
    <n v="1047"/>
    <d v="2023-07-10T00:00:00"/>
    <s v="David"/>
    <x v="0"/>
    <n v="6976.95"/>
    <x v="43"/>
    <s v="Food"/>
    <n v="4043.53"/>
    <n v="4384.8500000000004"/>
    <s v="New"/>
    <n v="0.14000000000000001"/>
    <x v="0"/>
    <x v="0"/>
    <s v="North-David"/>
  </r>
  <r>
    <n v="1021"/>
    <d v="2023-06-04T00:00:00"/>
    <s v="Eve"/>
    <x v="0"/>
    <n v="2265.2800000000002"/>
    <x v="33"/>
    <s v="Electronics"/>
    <n v="1296.44"/>
    <n v="1751.24"/>
    <s v="New"/>
    <n v="0.22"/>
    <x v="0"/>
    <x v="0"/>
    <s v="North-Eve"/>
  </r>
  <r>
    <n v="1080"/>
    <d v="2023-07-07T00:00:00"/>
    <s v="Charlie"/>
    <x v="1"/>
    <n v="5993.5"/>
    <x v="28"/>
    <s v="Food"/>
    <n v="4127.54"/>
    <n v="4495.13"/>
    <s v="New"/>
    <n v="0.06"/>
    <x v="1"/>
    <x v="1"/>
    <s v="West-Charlie"/>
  </r>
  <r>
    <n v="1085"/>
    <d v="2023-01-07T00:00:00"/>
    <s v="Eve"/>
    <x v="1"/>
    <n v="2719.89"/>
    <x v="25"/>
    <s v="Food"/>
    <n v="472.08"/>
    <n v="842.46"/>
    <s v="New"/>
    <n v="0"/>
    <x v="0"/>
    <x v="1"/>
    <s v="West-Eve"/>
  </r>
  <r>
    <n v="1075"/>
    <d v="2023-05-13T00:00:00"/>
    <s v="Bob"/>
    <x v="3"/>
    <n v="6653.49"/>
    <x v="43"/>
    <s v="Clothing"/>
    <n v="4337.6099999999997"/>
    <n v="4386.82"/>
    <s v="Returning"/>
    <n v="0.23"/>
    <x v="2"/>
    <x v="0"/>
    <s v="East-Bob"/>
  </r>
  <r>
    <n v="1036"/>
    <d v="2023-08-23T00:00:00"/>
    <s v="David"/>
    <x v="3"/>
    <n v="8167.9"/>
    <x v="44"/>
    <s v="Food"/>
    <n v="2520.9699999999998"/>
    <n v="2707.1099999999901"/>
    <s v="New"/>
    <n v="0.25"/>
    <x v="0"/>
    <x v="1"/>
    <s v="East-David"/>
  </r>
  <r>
    <n v="1099"/>
    <d v="2023-02-14T00:00:00"/>
    <s v="David"/>
    <x v="2"/>
    <n v="7802.45"/>
    <x v="5"/>
    <s v="Clothing"/>
    <n v="1517.86"/>
    <n v="1948.46"/>
    <s v="New"/>
    <n v="0.02"/>
    <x v="2"/>
    <x v="0"/>
    <s v="South-David"/>
  </r>
  <r>
    <n v="1019"/>
    <d v="2023-11-10T00:00:00"/>
    <s v="Bob"/>
    <x v="3"/>
    <n v="7632.43"/>
    <x v="19"/>
    <s v="Furniture"/>
    <n v="1362.31"/>
    <n v="1486.29"/>
    <s v="Returning"/>
    <n v="0.18"/>
    <x v="2"/>
    <x v="1"/>
    <s v="East-Bob"/>
  </r>
  <r>
    <n v="1020"/>
    <d v="2023-09-06T00:00:00"/>
    <s v="Bob"/>
    <x v="3"/>
    <n v="1958.45"/>
    <x v="27"/>
    <s v="Clothing"/>
    <n v="2188.4499999999998"/>
    <n v="2255.0499999999902"/>
    <s v="New"/>
    <n v="0.11"/>
    <x v="1"/>
    <x v="1"/>
    <s v="East-Bob"/>
  </r>
  <r>
    <n v="1057"/>
    <d v="2023-01-31T00:00:00"/>
    <s v="Charlie"/>
    <x v="0"/>
    <n v="975.01"/>
    <x v="43"/>
    <s v="Food"/>
    <n v="4995.3"/>
    <n v="5165.09"/>
    <s v="Returning"/>
    <n v="0.24"/>
    <x v="0"/>
    <x v="0"/>
    <s v="North-Charlie"/>
  </r>
  <r>
    <n v="1018"/>
    <d v="2023-01-23T00:00:00"/>
    <s v="David"/>
    <x v="0"/>
    <n v="7019.59"/>
    <x v="46"/>
    <s v="Furniture"/>
    <n v="1140.6199999999999"/>
    <n v="1258.6299999999901"/>
    <s v="Returning"/>
    <n v="0.26"/>
    <x v="1"/>
    <x v="0"/>
    <s v="North-David"/>
  </r>
  <r>
    <n v="1047"/>
    <d v="2023-06-09T00:00:00"/>
    <s v="David"/>
    <x v="3"/>
    <n v="3746.64"/>
    <x v="0"/>
    <s v="Clothing"/>
    <n v="560.91999999999996"/>
    <n v="1024.31"/>
    <s v="Returning"/>
    <n v="0.26"/>
    <x v="0"/>
    <x v="0"/>
    <s v="East-David"/>
  </r>
  <r>
    <n v="1049"/>
    <d v="2023-12-29T00:00:00"/>
    <s v="Charlie"/>
    <x v="2"/>
    <n v="4380.2299999999996"/>
    <x v="34"/>
    <s v="Food"/>
    <n v="2945.92"/>
    <n v="3381.22"/>
    <s v="Returning"/>
    <n v="0.23"/>
    <x v="0"/>
    <x v="1"/>
    <s v="South-Charlie"/>
  </r>
  <r>
    <n v="1014"/>
    <d v="2023-06-07T00:00:00"/>
    <s v="Alice"/>
    <x v="0"/>
    <n v="408.38"/>
    <x v="45"/>
    <s v="Electronics"/>
    <n v="2468.29"/>
    <n v="2723.13"/>
    <s v="Returning"/>
    <n v="0.08"/>
    <x v="0"/>
    <x v="1"/>
    <s v="North-Alice"/>
  </r>
  <r>
    <n v="1015"/>
    <d v="2023-02-08T00:00:00"/>
    <s v="Charlie"/>
    <x v="3"/>
    <n v="2669.81"/>
    <x v="18"/>
    <s v="Electronics"/>
    <n v="2644.77"/>
    <n v="2684.83"/>
    <s v="New"/>
    <n v="0.24"/>
    <x v="0"/>
    <x v="0"/>
    <s v="East-Charlie"/>
  </r>
  <r>
    <n v="1031"/>
    <d v="2023-03-23T00:00:00"/>
    <s v="Eve"/>
    <x v="3"/>
    <n v="433.4"/>
    <x v="5"/>
    <s v="Clothing"/>
    <n v="3351.33"/>
    <n v="3711.47"/>
    <s v="New"/>
    <n v="0.16"/>
    <x v="0"/>
    <x v="1"/>
    <s v="East-Eve"/>
  </r>
  <r>
    <n v="1001"/>
    <d v="2023-12-22T00:00:00"/>
    <s v="David"/>
    <x v="1"/>
    <n v="8803.94"/>
    <x v="27"/>
    <s v="Clothing"/>
    <n v="1372.36"/>
    <n v="1687.83"/>
    <s v="New"/>
    <n v="0.02"/>
    <x v="2"/>
    <x v="0"/>
    <s v="West-David"/>
  </r>
  <r>
    <n v="1054"/>
    <d v="2023-09-15T00:00:00"/>
    <s v="Bob"/>
    <x v="2"/>
    <n v="2509.63"/>
    <x v="25"/>
    <s v="Electronics"/>
    <n v="4557.79"/>
    <n v="5043.3599999999997"/>
    <s v="Returning"/>
    <n v="0.14000000000000001"/>
    <x v="2"/>
    <x v="1"/>
    <s v="South-Bob"/>
  </r>
  <r>
    <n v="1003"/>
    <d v="2023-07-25T00:00:00"/>
    <s v="Eve"/>
    <x v="1"/>
    <n v="5617.64"/>
    <x v="47"/>
    <s v="Food"/>
    <n v="2206.58"/>
    <n v="2490.4699999999998"/>
    <s v="New"/>
    <n v="0.28000000000000003"/>
    <x v="0"/>
    <x v="0"/>
    <s v="West-Eve"/>
  </r>
  <r>
    <n v="1016"/>
    <d v="2023-03-18T00:00:00"/>
    <s v="David"/>
    <x v="2"/>
    <n v="485.9"/>
    <x v="41"/>
    <s v="Food"/>
    <n v="688.98"/>
    <n v="863.81"/>
    <s v="New"/>
    <n v="0.27"/>
    <x v="2"/>
    <x v="1"/>
    <s v="South-David"/>
  </r>
  <r>
    <n v="1087"/>
    <d v="2023-01-12T00:00:00"/>
    <s v="Charlie"/>
    <x v="0"/>
    <n v="6701.79"/>
    <x v="9"/>
    <s v="Food"/>
    <n v="3724.38"/>
    <n v="3988.7"/>
    <s v="New"/>
    <n v="0.03"/>
    <x v="1"/>
    <x v="1"/>
    <s v="North-Charlie"/>
  </r>
  <r>
    <n v="1057"/>
    <d v="2023-10-22T00:00:00"/>
    <s v="Eve"/>
    <x v="2"/>
    <n v="3297.97"/>
    <x v="11"/>
    <s v="Clothing"/>
    <n v="3233.37"/>
    <n v="3723.21"/>
    <s v="New"/>
    <n v="0.22"/>
    <x v="1"/>
    <x v="1"/>
    <s v="South-Eve"/>
  </r>
  <r>
    <n v="1075"/>
    <d v="2023-08-12T00:00:00"/>
    <s v="David"/>
    <x v="3"/>
    <n v="8989.4"/>
    <x v="28"/>
    <s v="Furniture"/>
    <n v="1612.93"/>
    <n v="1964.15"/>
    <s v="Returning"/>
    <n v="0.24"/>
    <x v="1"/>
    <x v="1"/>
    <s v="East-David"/>
  </r>
  <r>
    <n v="1012"/>
    <d v="2023-01-13T00:00:00"/>
    <s v="Alice"/>
    <x v="3"/>
    <n v="8892.3700000000008"/>
    <x v="3"/>
    <s v="Furniture"/>
    <n v="3126.52"/>
    <n v="3465.79"/>
    <s v="New"/>
    <n v="0.08"/>
    <x v="0"/>
    <x v="0"/>
    <s v="East-Alice"/>
  </r>
  <r>
    <n v="1074"/>
    <d v="2023-02-15T00:00:00"/>
    <s v="Alice"/>
    <x v="2"/>
    <n v="3320.38"/>
    <x v="17"/>
    <s v="Furniture"/>
    <n v="1138.32"/>
    <n v="1266.25"/>
    <s v="Returning"/>
    <n v="0.14000000000000001"/>
    <x v="0"/>
    <x v="1"/>
    <s v="South-Alice"/>
  </r>
  <r>
    <n v="1096"/>
    <d v="2023-06-04T00:00:00"/>
    <s v="Bob"/>
    <x v="2"/>
    <n v="9019.51"/>
    <x v="28"/>
    <s v="Furniture"/>
    <n v="2251.9499999999998"/>
    <n v="2626.3199999999902"/>
    <s v="Returning"/>
    <n v="0.21"/>
    <x v="2"/>
    <x v="0"/>
    <s v="South-Bob"/>
  </r>
  <r>
    <n v="1016"/>
    <d v="2023-04-23T00:00:00"/>
    <s v="David"/>
    <x v="2"/>
    <n v="9961.9599999999991"/>
    <x v="32"/>
    <s v="Furniture"/>
    <n v="4502.09"/>
    <n v="4879.72"/>
    <s v="New"/>
    <n v="0.13"/>
    <x v="2"/>
    <x v="0"/>
    <s v="South-David"/>
  </r>
  <r>
    <n v="1072"/>
    <d v="2023-08-21T00:00:00"/>
    <s v="Alice"/>
    <x v="1"/>
    <n v="8271.6200000000008"/>
    <x v="26"/>
    <s v="Clothing"/>
    <n v="710.99"/>
    <n v="876.46"/>
    <s v="Returning"/>
    <n v="0.03"/>
    <x v="2"/>
    <x v="0"/>
    <s v="West-Alice"/>
  </r>
  <r>
    <n v="1076"/>
    <d v="2023-01-17T00:00:00"/>
    <s v="Charlie"/>
    <x v="2"/>
    <n v="8464.23"/>
    <x v="25"/>
    <s v="Clothing"/>
    <n v="1964.15"/>
    <n v="2211.17"/>
    <s v="Returning"/>
    <n v="0.21"/>
    <x v="1"/>
    <x v="0"/>
    <s v="South-Charlie"/>
  </r>
  <r>
    <n v="1024"/>
    <d v="2023-12-26T00:00:00"/>
    <s v="David"/>
    <x v="0"/>
    <n v="2565.19"/>
    <x v="1"/>
    <s v="Furniture"/>
    <n v="4114.66"/>
    <n v="4269.0199999999904"/>
    <s v="Returning"/>
    <n v="0.27"/>
    <x v="1"/>
    <x v="1"/>
    <s v="North-David"/>
  </r>
  <r>
    <n v="1028"/>
    <d v="2023-08-11T00:00:00"/>
    <s v="Charlie"/>
    <x v="1"/>
    <n v="5809.35"/>
    <x v="27"/>
    <s v="Clothing"/>
    <n v="4848.9799999999996"/>
    <n v="4985.75"/>
    <s v="Returning"/>
    <n v="0.2"/>
    <x v="1"/>
    <x v="0"/>
    <s v="West-Charlie"/>
  </r>
  <r>
    <n v="1008"/>
    <d v="2023-12-20T00:00:00"/>
    <s v="Charlie"/>
    <x v="1"/>
    <n v="765.83"/>
    <x v="18"/>
    <s v="Clothing"/>
    <n v="2296.9299999999998"/>
    <n v="2319.62"/>
    <s v="Returning"/>
    <n v="0.23"/>
    <x v="1"/>
    <x v="1"/>
    <s v="West-Charlie"/>
  </r>
  <r>
    <n v="1092"/>
    <d v="2023-07-07T00:00:00"/>
    <s v="Alice"/>
    <x v="2"/>
    <n v="1039.69"/>
    <x v="28"/>
    <s v="Furniture"/>
    <n v="2559.65"/>
    <n v="2709.4"/>
    <s v="Returning"/>
    <n v="0.11"/>
    <x v="2"/>
    <x v="1"/>
    <s v="South-Alice"/>
  </r>
  <r>
    <n v="1036"/>
    <d v="2023-12-10T00:00:00"/>
    <s v="David"/>
    <x v="0"/>
    <n v="9989.0400000000009"/>
    <x v="48"/>
    <s v="Food"/>
    <n v="2882.25"/>
    <n v="3163.7"/>
    <s v="Returning"/>
    <n v="0.05"/>
    <x v="0"/>
    <x v="1"/>
    <s v="North-David"/>
  </r>
  <r>
    <n v="1090"/>
    <d v="2023-12-31T00:00:00"/>
    <s v="Eve"/>
    <x v="1"/>
    <n v="3333.73"/>
    <x v="7"/>
    <s v="Clothing"/>
    <n v="4665.12"/>
    <n v="4675.8999999999996"/>
    <s v="New"/>
    <n v="0.19"/>
    <x v="0"/>
    <x v="1"/>
    <s v="West-Eve"/>
  </r>
  <r>
    <n v="1008"/>
    <d v="2023-06-12T00:00:00"/>
    <s v="Alice"/>
    <x v="3"/>
    <n v="7507.02"/>
    <x v="5"/>
    <s v="Food"/>
    <n v="4298.12"/>
    <n v="4446.8999999999996"/>
    <s v="New"/>
    <n v="0.1"/>
    <x v="1"/>
    <x v="0"/>
    <s v="East-Alice"/>
  </r>
  <r>
    <n v="1058"/>
    <d v="2023-11-22T00:00:00"/>
    <s v="Alice"/>
    <x v="1"/>
    <n v="8085.98"/>
    <x v="13"/>
    <s v="Clothing"/>
    <n v="894.48"/>
    <n v="1336.37"/>
    <s v="Returning"/>
    <n v="0.26"/>
    <x v="0"/>
    <x v="1"/>
    <s v="West-Alice"/>
  </r>
  <r>
    <n v="1060"/>
    <d v="2023-03-15T00:00:00"/>
    <s v="David"/>
    <x v="2"/>
    <n v="8594.43"/>
    <x v="16"/>
    <s v="Clothing"/>
    <n v="2211.9499999999998"/>
    <n v="2512.8399999999901"/>
    <s v="Returning"/>
    <n v="0.04"/>
    <x v="0"/>
    <x v="0"/>
    <s v="South-David"/>
  </r>
  <r>
    <n v="1050"/>
    <d v="2023-08-21T00:00:00"/>
    <s v="David"/>
    <x v="0"/>
    <n v="9976.52"/>
    <x v="1"/>
    <s v="Furniture"/>
    <n v="2346.8000000000002"/>
    <n v="2654.65"/>
    <s v="New"/>
    <n v="0.13"/>
    <x v="0"/>
    <x v="1"/>
    <s v="North-David"/>
  </r>
  <r>
    <n v="1028"/>
    <d v="2023-08-12T00:00:00"/>
    <s v="Charlie"/>
    <x v="2"/>
    <n v="2490.8200000000002"/>
    <x v="36"/>
    <s v="Clothing"/>
    <n v="3956.03"/>
    <n v="4163.68"/>
    <s v="New"/>
    <n v="0.12"/>
    <x v="1"/>
    <x v="1"/>
    <s v="South-Charlie"/>
  </r>
  <r>
    <n v="1092"/>
    <d v="2023-11-15T00:00:00"/>
    <s v="David"/>
    <x v="3"/>
    <n v="499.47"/>
    <x v="20"/>
    <s v="Electronics"/>
    <n v="3034.32"/>
    <n v="3375.79"/>
    <s v="New"/>
    <n v="0.28000000000000003"/>
    <x v="2"/>
    <x v="0"/>
    <s v="East-David"/>
  </r>
  <r>
    <n v="1041"/>
    <d v="2023-03-01T00:00:00"/>
    <s v="Charlie"/>
    <x v="3"/>
    <n v="4170.8"/>
    <x v="16"/>
    <s v="Electronics"/>
    <n v="3288.39"/>
    <n v="3391.46"/>
    <s v="New"/>
    <n v="0.05"/>
    <x v="2"/>
    <x v="1"/>
    <s v="East-Charlie"/>
  </r>
  <r>
    <n v="1100"/>
    <d v="2023-12-01T00:00:00"/>
    <s v="Alice"/>
    <x v="3"/>
    <n v="1387.8"/>
    <x v="24"/>
    <s v="Furniture"/>
    <n v="4991.09"/>
    <n v="5402.28"/>
    <s v="Returning"/>
    <n v="0"/>
    <x v="0"/>
    <x v="1"/>
    <s v="East-Alice"/>
  </r>
  <r>
    <n v="1064"/>
    <d v="2023-08-10T00:00:00"/>
    <s v="Bob"/>
    <x v="2"/>
    <n v="322.02"/>
    <x v="47"/>
    <s v="Food"/>
    <n v="421.05"/>
    <n v="488.23"/>
    <s v="Returning"/>
    <n v="7.0000000000000007E-2"/>
    <x v="2"/>
    <x v="1"/>
    <s v="South-Bob"/>
  </r>
  <r>
    <n v="1027"/>
    <d v="2023-02-06T00:00:00"/>
    <s v="Eve"/>
    <x v="1"/>
    <n v="3668.23"/>
    <x v="27"/>
    <s v="Food"/>
    <n v="1153.9000000000001"/>
    <n v="1485.34"/>
    <s v="New"/>
    <n v="0.25"/>
    <x v="2"/>
    <x v="1"/>
    <s v="West-Eve"/>
  </r>
  <r>
    <n v="1063"/>
    <d v="2023-10-05T00:00:00"/>
    <s v="Alice"/>
    <x v="2"/>
    <n v="7859.01"/>
    <x v="30"/>
    <s v="Food"/>
    <n v="2069.08"/>
    <n v="2246.2399999999998"/>
    <s v="New"/>
    <n v="0.06"/>
    <x v="1"/>
    <x v="1"/>
    <s v="South-Alice"/>
  </r>
  <r>
    <n v="1017"/>
    <d v="2023-07-15T00:00:00"/>
    <s v="David"/>
    <x v="0"/>
    <n v="5705.19"/>
    <x v="18"/>
    <s v="Electronics"/>
    <n v="1771.52"/>
    <n v="2147.8000000000002"/>
    <s v="New"/>
    <n v="7.0000000000000007E-2"/>
    <x v="1"/>
    <x v="0"/>
    <s v="North-David"/>
  </r>
  <r>
    <n v="1073"/>
    <d v="2023-12-18T00:00:00"/>
    <s v="Eve"/>
    <x v="1"/>
    <n v="3196.5"/>
    <x v="11"/>
    <s v="Food"/>
    <n v="157.15"/>
    <n v="436.53"/>
    <s v="New"/>
    <n v="0.04"/>
    <x v="0"/>
    <x v="1"/>
    <s v="West-Eve"/>
  </r>
  <r>
    <n v="1033"/>
    <d v="2023-08-30T00:00:00"/>
    <s v="Bob"/>
    <x v="3"/>
    <n v="6577.99"/>
    <x v="28"/>
    <s v="Food"/>
    <n v="504.3"/>
    <n v="735.95"/>
    <s v="Returning"/>
    <n v="0.21"/>
    <x v="0"/>
    <x v="1"/>
    <s v="East-Bob"/>
  </r>
  <r>
    <n v="1084"/>
    <d v="2023-11-20T00:00:00"/>
    <s v="Bob"/>
    <x v="2"/>
    <n v="2396.98"/>
    <x v="13"/>
    <s v="Furniture"/>
    <n v="3420.72"/>
    <n v="3513.74"/>
    <s v="New"/>
    <n v="0.02"/>
    <x v="0"/>
    <x v="0"/>
    <s v="South-Bob"/>
  </r>
  <r>
    <n v="1077"/>
    <d v="2023-08-07T00:00:00"/>
    <s v="Charlie"/>
    <x v="3"/>
    <n v="242.38"/>
    <x v="8"/>
    <s v="Food"/>
    <n v="4402.66"/>
    <n v="4724.7"/>
    <s v="New"/>
    <n v="0.1"/>
    <x v="1"/>
    <x v="1"/>
    <s v="East-Charlie"/>
  </r>
  <r>
    <n v="1092"/>
    <d v="2023-07-11T00:00:00"/>
    <s v="Eve"/>
    <x v="3"/>
    <n v="7667.1"/>
    <x v="19"/>
    <s v="Electronics"/>
    <n v="2595.42"/>
    <n v="3083.06"/>
    <s v="New"/>
    <n v="0.08"/>
    <x v="2"/>
    <x v="0"/>
    <s v="East-Eve"/>
  </r>
  <r>
    <n v="1029"/>
    <d v="2023-01-17T00:00:00"/>
    <s v="Charlie"/>
    <x v="0"/>
    <n v="6275.06"/>
    <x v="17"/>
    <s v="Electronics"/>
    <n v="2719"/>
    <n v="3133.55"/>
    <s v="Returning"/>
    <n v="0.17"/>
    <x v="1"/>
    <x v="1"/>
    <s v="North-Charlie"/>
  </r>
  <r>
    <n v="1013"/>
    <d v="2023-01-12T00:00:00"/>
    <s v="Alice"/>
    <x v="1"/>
    <n v="7646.8"/>
    <x v="22"/>
    <s v="Electronics"/>
    <n v="1312.71"/>
    <n v="1352.11"/>
    <s v="Returning"/>
    <n v="0.22"/>
    <x v="1"/>
    <x v="1"/>
    <s v="West-Alice"/>
  </r>
  <r>
    <n v="1046"/>
    <d v="2023-07-12T00:00:00"/>
    <s v="Eve"/>
    <x v="0"/>
    <n v="485.49"/>
    <x v="1"/>
    <s v="Furniture"/>
    <n v="3850.99"/>
    <n v="4045.3399999999901"/>
    <s v="Returning"/>
    <n v="0.16"/>
    <x v="2"/>
    <x v="0"/>
    <s v="North-Eve"/>
  </r>
  <r>
    <n v="1035"/>
    <d v="2023-01-22T00:00:00"/>
    <s v="Alice"/>
    <x v="0"/>
    <n v="8387.48"/>
    <x v="40"/>
    <s v="Furniture"/>
    <n v="3771.38"/>
    <n v="4234.92"/>
    <s v="New"/>
    <n v="0.28000000000000003"/>
    <x v="2"/>
    <x v="1"/>
    <s v="North-Alice"/>
  </r>
  <r>
    <n v="1006"/>
    <d v="2023-04-30T00:00:00"/>
    <s v="Charlie"/>
    <x v="0"/>
    <n v="6233.31"/>
    <x v="12"/>
    <s v="Clothing"/>
    <n v="2962.41"/>
    <n v="3218.8999999999901"/>
    <s v="New"/>
    <n v="0.28999999999999998"/>
    <x v="0"/>
    <x v="1"/>
    <s v="North-Charlie"/>
  </r>
  <r>
    <n v="1082"/>
    <d v="2023-07-29T00:00:00"/>
    <s v="Eve"/>
    <x v="3"/>
    <n v="5677.61"/>
    <x v="7"/>
    <s v="Food"/>
    <n v="1102.69"/>
    <n v="1437.12"/>
    <s v="New"/>
    <n v="0.11"/>
    <x v="2"/>
    <x v="0"/>
    <s v="East-Eve"/>
  </r>
  <r>
    <n v="1069"/>
    <d v="2023-11-02T00:00:00"/>
    <s v="Charlie"/>
    <x v="0"/>
    <n v="6283.68"/>
    <x v="18"/>
    <s v="Furniture"/>
    <n v="530.24"/>
    <n v="987.41"/>
    <s v="Returning"/>
    <n v="0.23"/>
    <x v="2"/>
    <x v="0"/>
    <s v="North-Charlie"/>
  </r>
  <r>
    <n v="1047"/>
    <d v="2023-09-27T00:00:00"/>
    <s v="Eve"/>
    <x v="0"/>
    <n v="8657.89"/>
    <x v="5"/>
    <s v="Electronics"/>
    <n v="367.98"/>
    <n v="806.14"/>
    <s v="Returning"/>
    <n v="0.22"/>
    <x v="2"/>
    <x v="1"/>
    <s v="North-Eve"/>
  </r>
  <r>
    <n v="1025"/>
    <d v="2023-07-11T00:00:00"/>
    <s v="Charlie"/>
    <x v="1"/>
    <n v="5910.67"/>
    <x v="11"/>
    <s v="Electronics"/>
    <n v="2983.85"/>
    <n v="3239.74"/>
    <s v="New"/>
    <n v="0.27"/>
    <x v="2"/>
    <x v="0"/>
    <s v="West-Charlie"/>
  </r>
  <r>
    <n v="1066"/>
    <d v="2023-06-24T00:00:00"/>
    <s v="Bob"/>
    <x v="1"/>
    <n v="5851.41"/>
    <x v="4"/>
    <s v="Furniture"/>
    <n v="4133.92"/>
    <n v="4358.37"/>
    <s v="New"/>
    <n v="0.13"/>
    <x v="0"/>
    <x v="1"/>
    <s v="West-Bob"/>
  </r>
  <r>
    <n v="1010"/>
    <d v="2023-10-12T00:00:00"/>
    <s v="Charlie"/>
    <x v="0"/>
    <n v="9907.7199999999993"/>
    <x v="46"/>
    <s v="Furniture"/>
    <n v="4298.74"/>
    <n v="4475.1899999999996"/>
    <s v="Returning"/>
    <n v="0.16"/>
    <x v="0"/>
    <x v="0"/>
    <s v="North-Charlie"/>
  </r>
  <r>
    <n v="1056"/>
    <d v="2023-07-23T00:00:00"/>
    <s v="Bob"/>
    <x v="1"/>
    <n v="7591.63"/>
    <x v="22"/>
    <s v="Furniture"/>
    <n v="2344.9299999999998"/>
    <n v="2707.25"/>
    <s v="New"/>
    <n v="0.12"/>
    <x v="2"/>
    <x v="1"/>
    <s v="West-Bob"/>
  </r>
  <r>
    <n v="1030"/>
    <d v="2023-06-13T00:00:00"/>
    <s v="Charlie"/>
    <x v="1"/>
    <n v="4478.71"/>
    <x v="47"/>
    <s v="Clothing"/>
    <n v="3932.14"/>
    <n v="4082.7599999999902"/>
    <s v="New"/>
    <n v="0.26"/>
    <x v="2"/>
    <x v="0"/>
    <s v="West-Charlie"/>
  </r>
  <r>
    <n v="1005"/>
    <d v="2023-09-08T00:00:00"/>
    <s v="Eve"/>
    <x v="0"/>
    <n v="7103.23"/>
    <x v="14"/>
    <s v="Electronics"/>
    <n v="4737.0600000000004"/>
    <n v="4869.5"/>
    <s v="New"/>
    <n v="7.0000000000000007E-2"/>
    <x v="0"/>
    <x v="0"/>
    <s v="North-Eve"/>
  </r>
  <r>
    <n v="1033"/>
    <d v="2023-08-15T00:00:00"/>
    <s v="Eve"/>
    <x v="3"/>
    <n v="3953.38"/>
    <x v="6"/>
    <s v="Clothing"/>
    <n v="1412.09"/>
    <n v="1596.6499999999901"/>
    <s v="Returning"/>
    <n v="7.0000000000000007E-2"/>
    <x v="0"/>
    <x v="0"/>
    <s v="East-Eve"/>
  </r>
  <r>
    <n v="1065"/>
    <d v="2023-01-07T00:00:00"/>
    <s v="Eve"/>
    <x v="0"/>
    <n v="2365.87"/>
    <x v="32"/>
    <s v="Clothing"/>
    <n v="2019.9"/>
    <n v="2116.7399999999998"/>
    <s v="New"/>
    <n v="0.11"/>
    <x v="2"/>
    <x v="0"/>
    <s v="North-Eve"/>
  </r>
  <r>
    <n v="1018"/>
    <d v="2023-01-29T00:00:00"/>
    <s v="David"/>
    <x v="1"/>
    <n v="6008.83"/>
    <x v="44"/>
    <s v="Food"/>
    <n v="4660.82"/>
    <n v="5011.4299999999903"/>
    <s v="New"/>
    <n v="7.0000000000000007E-2"/>
    <x v="1"/>
    <x v="0"/>
    <s v="West-David"/>
  </r>
  <r>
    <n v="1096"/>
    <d v="2023-02-02T00:00:00"/>
    <s v="Alice"/>
    <x v="3"/>
    <n v="9289"/>
    <x v="17"/>
    <s v="Electronics"/>
    <n v="1724.24"/>
    <n v="2036.2"/>
    <s v="New"/>
    <n v="0.17"/>
    <x v="0"/>
    <x v="0"/>
    <s v="East-Alice"/>
  </r>
  <r>
    <n v="1049"/>
    <d v="2023-05-14T00:00:00"/>
    <s v="Eve"/>
    <x v="2"/>
    <n v="9298.48"/>
    <x v="33"/>
    <s v="Electronics"/>
    <n v="4573.6899999999996"/>
    <n v="4820.2999999999902"/>
    <s v="New"/>
    <n v="0.04"/>
    <x v="0"/>
    <x v="0"/>
    <s v="South-Eve"/>
  </r>
  <r>
    <n v="1011"/>
    <d v="2023-03-20T00:00:00"/>
    <s v="Bob"/>
    <x v="3"/>
    <n v="3484.86"/>
    <x v="39"/>
    <s v="Furniture"/>
    <n v="4906.17"/>
    <n v="5107.43"/>
    <s v="Returning"/>
    <n v="0.1"/>
    <x v="0"/>
    <x v="0"/>
    <s v="East-Bob"/>
  </r>
  <r>
    <n v="1085"/>
    <d v="2023-02-27T00:00:00"/>
    <s v="Eve"/>
    <x v="1"/>
    <n v="5324.01"/>
    <x v="27"/>
    <s v="Furniture"/>
    <n v="3325.96"/>
    <n v="3781.4"/>
    <s v="Returning"/>
    <n v="0.27"/>
    <x v="2"/>
    <x v="0"/>
    <s v="West-Eve"/>
  </r>
  <r>
    <n v="1026"/>
    <d v="2023-01-26T00:00:00"/>
    <s v="David"/>
    <x v="3"/>
    <n v="2195.1999999999998"/>
    <x v="47"/>
    <s v="Food"/>
    <n v="4093.61"/>
    <n v="4117.88"/>
    <s v="Returning"/>
    <n v="0.12"/>
    <x v="2"/>
    <x v="1"/>
    <s v="East-David"/>
  </r>
  <r>
    <n v="1063"/>
    <d v="2023-08-14T00:00:00"/>
    <s v="Bob"/>
    <x v="0"/>
    <n v="9956.75"/>
    <x v="30"/>
    <s v="Clothing"/>
    <n v="3760.25"/>
    <n v="4147.1099999999997"/>
    <s v="New"/>
    <n v="0.22"/>
    <x v="0"/>
    <x v="0"/>
    <s v="North-Bob"/>
  </r>
  <r>
    <n v="1089"/>
    <d v="2023-10-12T00:00:00"/>
    <s v="David"/>
    <x v="2"/>
    <n v="9813.07"/>
    <x v="44"/>
    <s v="Furniture"/>
    <n v="3512.69"/>
    <n v="3964.63"/>
    <s v="Returning"/>
    <n v="0.03"/>
    <x v="2"/>
    <x v="1"/>
    <s v="South-David"/>
  </r>
  <r>
    <n v="1086"/>
    <d v="2023-01-04T00:00:00"/>
    <s v="Bob"/>
    <x v="2"/>
    <n v="6530.14"/>
    <x v="29"/>
    <s v="Furniture"/>
    <n v="1569.31"/>
    <n v="1798.02"/>
    <s v="New"/>
    <n v="7.0000000000000007E-2"/>
    <x v="2"/>
    <x v="0"/>
    <s v="South-Bob"/>
  </r>
  <r>
    <n v="1059"/>
    <d v="2023-04-09T00:00:00"/>
    <s v="Charlie"/>
    <x v="2"/>
    <n v="8063.7"/>
    <x v="21"/>
    <s v="Electronics"/>
    <n v="332.62"/>
    <n v="612.46"/>
    <s v="Returning"/>
    <n v="0.24"/>
    <x v="0"/>
    <x v="1"/>
    <s v="South-Charlie"/>
  </r>
  <r>
    <n v="1027"/>
    <d v="2023-02-08T00:00:00"/>
    <s v="Alice"/>
    <x v="1"/>
    <n v="7179.49"/>
    <x v="46"/>
    <s v="Electronics"/>
    <n v="1748.11"/>
    <n v="2220.9"/>
    <s v="New"/>
    <n v="0.23"/>
    <x v="2"/>
    <x v="1"/>
    <s v="West-Alice"/>
  </r>
  <r>
    <n v="1049"/>
    <d v="2023-09-28T00:00:00"/>
    <s v="Alice"/>
    <x v="1"/>
    <n v="5972.27"/>
    <x v="16"/>
    <s v="Furniture"/>
    <n v="3351.33"/>
    <n v="3465.35"/>
    <s v="Returning"/>
    <n v="0.12"/>
    <x v="1"/>
    <x v="0"/>
    <s v="West-Alice"/>
  </r>
  <r>
    <n v="1077"/>
    <d v="2023-10-12T00:00:00"/>
    <s v="David"/>
    <x v="2"/>
    <n v="628.15"/>
    <x v="18"/>
    <s v="Electronics"/>
    <n v="557.52"/>
    <n v="822.39"/>
    <s v="Returning"/>
    <n v="0.28999999999999998"/>
    <x v="2"/>
    <x v="0"/>
    <s v="South-David"/>
  </r>
  <r>
    <n v="1033"/>
    <d v="2023-06-06T00:00:00"/>
    <s v="Alice"/>
    <x v="3"/>
    <n v="4602.17"/>
    <x v="5"/>
    <s v="Food"/>
    <n v="108.99"/>
    <n v="351.6"/>
    <s v="Returning"/>
    <n v="0.27"/>
    <x v="2"/>
    <x v="1"/>
    <s v="East-Alice"/>
  </r>
  <r>
    <n v="1098"/>
    <d v="2023-03-16T00:00:00"/>
    <s v="David"/>
    <x v="2"/>
    <n v="6780.38"/>
    <x v="23"/>
    <s v="Furniture"/>
    <n v="741.48"/>
    <n v="878.09"/>
    <s v="New"/>
    <n v="0.28999999999999998"/>
    <x v="0"/>
    <x v="1"/>
    <s v="South-David"/>
  </r>
  <r>
    <n v="1099"/>
    <d v="2023-10-15T00:00:00"/>
    <s v="David"/>
    <x v="3"/>
    <n v="6807.56"/>
    <x v="3"/>
    <s v="Electronics"/>
    <n v="3592.89"/>
    <n v="4004"/>
    <s v="New"/>
    <n v="0.13"/>
    <x v="0"/>
    <x v="0"/>
    <s v="East-David"/>
  </r>
  <r>
    <n v="1001"/>
    <d v="2023-05-10T00:00:00"/>
    <s v="David"/>
    <x v="3"/>
    <n v="3793.91"/>
    <x v="20"/>
    <s v="Food"/>
    <n v="4865.33"/>
    <n v="5316.13"/>
    <s v="New"/>
    <n v="0.06"/>
    <x v="1"/>
    <x v="0"/>
    <s v="East-David"/>
  </r>
  <r>
    <n v="1021"/>
    <d v="2023-06-24T00:00:00"/>
    <s v="Alice"/>
    <x v="1"/>
    <n v="9422.75"/>
    <x v="38"/>
    <s v="Electronics"/>
    <n v="4916.17"/>
    <n v="5309.32"/>
    <s v="Returning"/>
    <n v="0.19"/>
    <x v="2"/>
    <x v="0"/>
    <s v="West-Alice"/>
  </r>
  <r>
    <n v="1055"/>
    <d v="2023-03-25T00:00:00"/>
    <s v="David"/>
    <x v="3"/>
    <n v="1756.83"/>
    <x v="23"/>
    <s v="Electronics"/>
    <n v="2495.1999999999998"/>
    <n v="2600.9299999999998"/>
    <s v="New"/>
    <n v="0.21"/>
    <x v="1"/>
    <x v="1"/>
    <s v="East-David"/>
  </r>
  <r>
    <n v="1006"/>
    <d v="2023-01-22T00:00:00"/>
    <s v="Alice"/>
    <x v="2"/>
    <n v="5053.5600000000004"/>
    <x v="6"/>
    <s v="Electronics"/>
    <n v="4353.29"/>
    <n v="4405.8"/>
    <s v="New"/>
    <n v="0.04"/>
    <x v="1"/>
    <x v="0"/>
    <s v="South-Alice"/>
  </r>
  <r>
    <n v="1092"/>
    <d v="2023-01-27T00:00:00"/>
    <s v="David"/>
    <x v="1"/>
    <n v="6939.75"/>
    <x v="42"/>
    <s v="Furniture"/>
    <n v="3697.29"/>
    <n v="4003.96"/>
    <s v="New"/>
    <n v="0.24"/>
    <x v="0"/>
    <x v="0"/>
    <s v="West-David"/>
  </r>
  <r>
    <n v="1081"/>
    <d v="2023-07-14T00:00:00"/>
    <s v="Eve"/>
    <x v="0"/>
    <n v="7001.64"/>
    <x v="25"/>
    <s v="Clothing"/>
    <n v="2530.15"/>
    <n v="2568.13"/>
    <s v="New"/>
    <n v="0.01"/>
    <x v="2"/>
    <x v="0"/>
    <s v="North-Eve"/>
  </r>
  <r>
    <n v="1069"/>
    <d v="2023-12-03T00:00:00"/>
    <s v="David"/>
    <x v="0"/>
    <n v="6521.53"/>
    <x v="22"/>
    <s v="Electronics"/>
    <n v="2885.16"/>
    <n v="3224.8399999999901"/>
    <s v="New"/>
    <n v="0.14000000000000001"/>
    <x v="0"/>
    <x v="0"/>
    <s v="North-David"/>
  </r>
  <r>
    <n v="1095"/>
    <d v="2023-08-24T00:00:00"/>
    <s v="Bob"/>
    <x v="1"/>
    <n v="2825.35"/>
    <x v="46"/>
    <s v="Food"/>
    <n v="729.27"/>
    <n v="999.18"/>
    <s v="New"/>
    <n v="0.1"/>
    <x v="1"/>
    <x v="0"/>
    <s v="West-Bob"/>
  </r>
  <r>
    <n v="1005"/>
    <d v="2023-04-02T00:00:00"/>
    <s v="David"/>
    <x v="2"/>
    <n v="1646.45"/>
    <x v="7"/>
    <s v="Furniture"/>
    <n v="4691.42"/>
    <n v="5026.1899999999996"/>
    <s v="Returning"/>
    <n v="0.22"/>
    <x v="1"/>
    <x v="1"/>
    <s v="South-David"/>
  </r>
  <r>
    <n v="1003"/>
    <d v="2023-01-21T00:00:00"/>
    <s v="Charlie"/>
    <x v="0"/>
    <n v="6395.81"/>
    <x v="45"/>
    <s v="Furniture"/>
    <n v="1792.05"/>
    <n v="2091.23"/>
    <s v="Returning"/>
    <n v="0.09"/>
    <x v="0"/>
    <x v="1"/>
    <s v="North-Charlie"/>
  </r>
  <r>
    <n v="1053"/>
    <d v="2023-10-30T00:00:00"/>
    <s v="David"/>
    <x v="0"/>
    <n v="6033.09"/>
    <x v="21"/>
    <s v="Food"/>
    <n v="2258.44"/>
    <n v="2475.56"/>
    <s v="New"/>
    <n v="0.25"/>
    <x v="0"/>
    <x v="0"/>
    <s v="North-David"/>
  </r>
  <r>
    <n v="1023"/>
    <d v="2023-12-23T00:00:00"/>
    <s v="Bob"/>
    <x v="3"/>
    <n v="1875.62"/>
    <x v="20"/>
    <s v="Electronics"/>
    <n v="3374.72"/>
    <n v="3483.1499999999901"/>
    <s v="Returning"/>
    <n v="0.18"/>
    <x v="0"/>
    <x v="0"/>
    <s v="East-Bob"/>
  </r>
  <r>
    <n v="1053"/>
    <d v="2023-03-25T00:00:00"/>
    <s v="Bob"/>
    <x v="3"/>
    <n v="7080.88"/>
    <x v="21"/>
    <s v="Clothing"/>
    <n v="1702.82"/>
    <n v="1862.61"/>
    <s v="Returning"/>
    <n v="0.24"/>
    <x v="0"/>
    <x v="1"/>
    <s v="East-Bob"/>
  </r>
  <r>
    <n v="1037"/>
    <d v="2023-09-19T00:00:00"/>
    <s v="Alice"/>
    <x v="2"/>
    <n v="4606.2"/>
    <x v="1"/>
    <s v="Electronics"/>
    <n v="1308.58"/>
    <n v="1575.59"/>
    <s v="New"/>
    <n v="0.3"/>
    <x v="0"/>
    <x v="0"/>
    <s v="South-Alice"/>
  </r>
  <r>
    <n v="1074"/>
    <d v="2023-05-27T00:00:00"/>
    <s v="Eve"/>
    <x v="1"/>
    <n v="6710.83"/>
    <x v="39"/>
    <s v="Food"/>
    <n v="3173.69"/>
    <n v="3503.11"/>
    <s v="New"/>
    <n v="0.2"/>
    <x v="1"/>
    <x v="1"/>
    <s v="West-Eve"/>
  </r>
  <r>
    <n v="1074"/>
    <d v="2023-09-14T00:00:00"/>
    <s v="David"/>
    <x v="2"/>
    <n v="8389.93"/>
    <x v="6"/>
    <s v="Furniture"/>
    <n v="173.67"/>
    <n v="565.62"/>
    <s v="Returning"/>
    <n v="0.3"/>
    <x v="0"/>
    <x v="0"/>
    <s v="South-David"/>
  </r>
  <r>
    <n v="1083"/>
    <d v="2023-02-27T00:00:00"/>
    <s v="Alice"/>
    <x v="1"/>
    <n v="1780.31"/>
    <x v="46"/>
    <s v="Clothing"/>
    <n v="3617.59"/>
    <n v="4003.5"/>
    <s v="New"/>
    <n v="0.01"/>
    <x v="2"/>
    <x v="1"/>
    <s v="West-Alice"/>
  </r>
  <r>
    <n v="1017"/>
    <d v="2023-01-15T00:00:00"/>
    <s v="Eve"/>
    <x v="0"/>
    <n v="289.52999999999997"/>
    <x v="32"/>
    <s v="Furniture"/>
    <n v="2594.42"/>
    <n v="3081.04"/>
    <s v="Returning"/>
    <n v="0.1"/>
    <x v="1"/>
    <x v="1"/>
    <s v="North-Eve"/>
  </r>
  <r>
    <n v="1085"/>
    <d v="2023-06-11T00:00:00"/>
    <s v="David"/>
    <x v="3"/>
    <n v="7813.12"/>
    <x v="29"/>
    <s v="Food"/>
    <n v="3048.48"/>
    <n v="3198.54"/>
    <s v="Returning"/>
    <n v="0.03"/>
    <x v="1"/>
    <x v="0"/>
    <s v="East-David"/>
  </r>
  <r>
    <n v="1078"/>
    <d v="2023-06-12T00:00:00"/>
    <s v="Charlie"/>
    <x v="2"/>
    <n v="6136"/>
    <x v="6"/>
    <s v="Electronics"/>
    <n v="3177.81"/>
    <n v="3222.65"/>
    <s v="Returning"/>
    <n v="0.08"/>
    <x v="2"/>
    <x v="1"/>
    <s v="South-Charlie"/>
  </r>
  <r>
    <n v="1073"/>
    <d v="2023-11-16T00:00:00"/>
    <s v="David"/>
    <x v="2"/>
    <n v="7026.43"/>
    <x v="10"/>
    <s v="Clothing"/>
    <n v="2658.9"/>
    <n v="2838.27"/>
    <s v="New"/>
    <n v="0.25"/>
    <x v="2"/>
    <x v="0"/>
    <s v="South-David"/>
  </r>
  <r>
    <n v="1001"/>
    <d v="2023-10-08T00:00:00"/>
    <s v="Bob"/>
    <x v="1"/>
    <n v="8397.73"/>
    <x v="19"/>
    <s v="Furniture"/>
    <n v="2933.54"/>
    <n v="3307.75"/>
    <s v="Returning"/>
    <n v="0.01"/>
    <x v="1"/>
    <x v="1"/>
    <s v="West-Bob"/>
  </r>
  <r>
    <n v="1051"/>
    <d v="2023-10-07T00:00:00"/>
    <s v="Bob"/>
    <x v="1"/>
    <n v="8047.83"/>
    <x v="45"/>
    <s v="Furniture"/>
    <n v="3434.75"/>
    <n v="3659.42"/>
    <s v="New"/>
    <n v="0.16"/>
    <x v="0"/>
    <x v="0"/>
    <s v="West-Bob"/>
  </r>
  <r>
    <n v="1045"/>
    <d v="2023-01-12T00:00:00"/>
    <s v="Charlie"/>
    <x v="2"/>
    <n v="9613.11"/>
    <x v="22"/>
    <s v="Furniture"/>
    <n v="3777.94"/>
    <n v="4188.66"/>
    <s v="New"/>
    <n v="0.17"/>
    <x v="1"/>
    <x v="0"/>
    <s v="South-Charlie"/>
  </r>
  <r>
    <n v="1077"/>
    <d v="2023-10-01T00:00:00"/>
    <s v="Alice"/>
    <x v="1"/>
    <n v="5405.76"/>
    <x v="47"/>
    <s v="Electronics"/>
    <n v="3650.89"/>
    <n v="3930.06"/>
    <s v="New"/>
    <n v="0.17"/>
    <x v="1"/>
    <x v="0"/>
    <s v="West-Alice"/>
  </r>
  <r>
    <n v="1004"/>
    <d v="2023-09-28T00:00:00"/>
    <s v="Eve"/>
    <x v="2"/>
    <n v="4936.1099999999997"/>
    <x v="30"/>
    <s v="Clothing"/>
    <n v="4354.6000000000004"/>
    <n v="4820.2"/>
    <s v="New"/>
    <n v="0.14000000000000001"/>
    <x v="2"/>
    <x v="1"/>
    <s v="South-Eve"/>
  </r>
  <r>
    <n v="1062"/>
    <d v="2023-07-27T00:00:00"/>
    <s v="David"/>
    <x v="2"/>
    <n v="4078.68"/>
    <x v="16"/>
    <s v="Electronics"/>
    <n v="987.74"/>
    <n v="1462.19"/>
    <s v="New"/>
    <n v="0.24"/>
    <x v="1"/>
    <x v="0"/>
    <s v="South-David"/>
  </r>
  <r>
    <n v="1065"/>
    <d v="2023-01-27T00:00:00"/>
    <s v="Bob"/>
    <x v="2"/>
    <n v="1621.54"/>
    <x v="26"/>
    <s v="Electronics"/>
    <n v="2035.68"/>
    <n v="2079.64"/>
    <s v="Returning"/>
    <n v="0.04"/>
    <x v="0"/>
    <x v="0"/>
    <s v="South-Bob"/>
  </r>
  <r>
    <n v="1032"/>
    <d v="2023-03-13T00:00:00"/>
    <s v="Alice"/>
    <x v="0"/>
    <n v="5768.81"/>
    <x v="46"/>
    <s v="Electronics"/>
    <n v="4741.59"/>
    <n v="4975.2299999999996"/>
    <s v="New"/>
    <n v="0.09"/>
    <x v="2"/>
    <x v="0"/>
    <s v="North-Alice"/>
  </r>
  <r>
    <n v="1034"/>
    <d v="2023-03-01T00:00:00"/>
    <s v="Charlie"/>
    <x v="1"/>
    <n v="2842.42"/>
    <x v="27"/>
    <s v="Food"/>
    <n v="2013.12"/>
    <n v="2321.87"/>
    <s v="New"/>
    <n v="0.18"/>
    <x v="1"/>
    <x v="1"/>
    <s v="West-Charlie"/>
  </r>
  <r>
    <n v="1092"/>
    <d v="2023-05-25T00:00:00"/>
    <s v="Bob"/>
    <x v="3"/>
    <n v="9220.94"/>
    <x v="46"/>
    <s v="Food"/>
    <n v="668.11"/>
    <n v="803.49"/>
    <s v="New"/>
    <n v="0.21"/>
    <x v="1"/>
    <x v="0"/>
    <s v="East-Bob"/>
  </r>
  <r>
    <n v="1095"/>
    <d v="2023-04-03T00:00:00"/>
    <s v="Charlie"/>
    <x v="3"/>
    <n v="5873.59"/>
    <x v="14"/>
    <s v="Food"/>
    <n v="2650.95"/>
    <n v="2860.4199999999901"/>
    <s v="New"/>
    <n v="0.12"/>
    <x v="0"/>
    <x v="1"/>
    <s v="East-Charlie"/>
  </r>
  <r>
    <n v="1072"/>
    <d v="2023-11-05T00:00:00"/>
    <s v="David"/>
    <x v="1"/>
    <n v="5969.12"/>
    <x v="3"/>
    <s v="Clothing"/>
    <n v="591.98"/>
    <n v="934.04"/>
    <s v="New"/>
    <n v="0.26"/>
    <x v="1"/>
    <x v="1"/>
    <s v="West-David"/>
  </r>
  <r>
    <n v="1039"/>
    <d v="2023-01-08T00:00:00"/>
    <s v="Eve"/>
    <x v="2"/>
    <n v="3613.75"/>
    <x v="41"/>
    <s v="Electronics"/>
    <n v="1054.1199999999999"/>
    <n v="1175.21999999999"/>
    <s v="Returning"/>
    <n v="0.12"/>
    <x v="1"/>
    <x v="1"/>
    <s v="South-Eve"/>
  </r>
  <r>
    <n v="1026"/>
    <d v="2023-03-20T00:00:00"/>
    <s v="Bob"/>
    <x v="3"/>
    <n v="614.69000000000005"/>
    <x v="12"/>
    <s v="Electronics"/>
    <n v="4991.68"/>
    <n v="5296.65"/>
    <s v="New"/>
    <n v="0.12"/>
    <x v="1"/>
    <x v="0"/>
    <s v="East-Bob"/>
  </r>
  <r>
    <n v="1034"/>
    <d v="2023-01-27T00:00:00"/>
    <s v="Bob"/>
    <x v="3"/>
    <n v="414.26"/>
    <x v="34"/>
    <s v="Food"/>
    <n v="2729.75"/>
    <n v="3081.5"/>
    <s v="New"/>
    <n v="0.01"/>
    <x v="1"/>
    <x v="0"/>
    <s v="East-Bob"/>
  </r>
  <r>
    <n v="1054"/>
    <d v="2023-06-23T00:00:00"/>
    <s v="David"/>
    <x v="1"/>
    <n v="4291.0200000000004"/>
    <x v="30"/>
    <s v="Electronics"/>
    <n v="1456.09"/>
    <n v="1510.4299999999901"/>
    <s v="Returning"/>
    <n v="0.17"/>
    <x v="0"/>
    <x v="1"/>
    <s v="West-David"/>
  </r>
  <r>
    <n v="1003"/>
    <d v="2023-02-19T00:00:00"/>
    <s v="Alice"/>
    <x v="3"/>
    <n v="937.2"/>
    <x v="27"/>
    <s v="Electronics"/>
    <n v="4974.1400000000003"/>
    <n v="5227.93"/>
    <s v="New"/>
    <n v="0.21"/>
    <x v="1"/>
    <x v="0"/>
    <s v="East-Alice"/>
  </r>
  <r>
    <n v="1050"/>
    <d v="2023-07-18T00:00:00"/>
    <s v="Eve"/>
    <x v="2"/>
    <n v="6107.78"/>
    <x v="8"/>
    <s v="Furniture"/>
    <n v="4834.47"/>
    <n v="4973.38"/>
    <s v="Returning"/>
    <n v="0.03"/>
    <x v="1"/>
    <x v="0"/>
    <s v="South-Eve"/>
  </r>
  <r>
    <n v="1012"/>
    <d v="2023-12-15T00:00:00"/>
    <s v="Bob"/>
    <x v="1"/>
    <n v="8821.6299999999992"/>
    <x v="4"/>
    <s v="Electronics"/>
    <n v="2231.66"/>
    <n v="2596.6099999999901"/>
    <s v="Returning"/>
    <n v="0.09"/>
    <x v="1"/>
    <x v="1"/>
    <s v="West-Bob"/>
  </r>
  <r>
    <n v="1065"/>
    <d v="2023-06-30T00:00:00"/>
    <s v="Eve"/>
    <x v="2"/>
    <n v="8840.86"/>
    <x v="4"/>
    <s v="Furniture"/>
    <n v="1339"/>
    <n v="1441.88"/>
    <s v="Returning"/>
    <n v="0.23"/>
    <x v="2"/>
    <x v="1"/>
    <s v="South-Eve"/>
  </r>
  <r>
    <n v="1054"/>
    <d v="2023-01-24T00:00:00"/>
    <s v="Bob"/>
    <x v="3"/>
    <n v="6624.55"/>
    <x v="33"/>
    <s v="Electronics"/>
    <n v="4200.08"/>
    <n v="4647.28"/>
    <s v="Returning"/>
    <n v="0.11"/>
    <x v="0"/>
    <x v="0"/>
    <s v="East-Bob"/>
  </r>
  <r>
    <n v="1005"/>
    <d v="2023-11-12T00:00:00"/>
    <s v="Eve"/>
    <x v="3"/>
    <n v="2191.1999999999998"/>
    <x v="40"/>
    <s v="Clothing"/>
    <n v="3592.32"/>
    <n v="3813.48"/>
    <s v="New"/>
    <n v="7.0000000000000007E-2"/>
    <x v="2"/>
    <x v="1"/>
    <s v="East-Eve"/>
  </r>
  <r>
    <n v="1094"/>
    <d v="2023-02-15T00:00:00"/>
    <s v="Charlie"/>
    <x v="2"/>
    <n v="8643.67"/>
    <x v="20"/>
    <s v="Food"/>
    <n v="3450.36"/>
    <n v="3557.38"/>
    <s v="New"/>
    <n v="0.2"/>
    <x v="2"/>
    <x v="0"/>
    <s v="South-Charlie"/>
  </r>
  <r>
    <n v="1094"/>
    <d v="2023-01-15T00:00:00"/>
    <s v="Bob"/>
    <x v="0"/>
    <n v="8872.33"/>
    <x v="27"/>
    <s v="Furniture"/>
    <n v="4470.91"/>
    <n v="4695.54"/>
    <s v="Returning"/>
    <n v="0.06"/>
    <x v="0"/>
    <x v="1"/>
    <s v="North-Bob"/>
  </r>
  <r>
    <n v="1057"/>
    <d v="2023-06-02T00:00:00"/>
    <s v="Eve"/>
    <x v="3"/>
    <n v="2046.87"/>
    <x v="33"/>
    <s v="Food"/>
    <n v="3462.61"/>
    <n v="3672.89"/>
    <s v="Returning"/>
    <n v="0.27"/>
    <x v="2"/>
    <x v="0"/>
    <s v="East-Eve"/>
  </r>
  <r>
    <n v="1017"/>
    <d v="2023-08-10T00:00:00"/>
    <s v="Alice"/>
    <x v="0"/>
    <n v="7400.52"/>
    <x v="8"/>
    <s v="Furniture"/>
    <n v="1454.8"/>
    <n v="1674.97"/>
    <s v="New"/>
    <n v="0.03"/>
    <x v="2"/>
    <x v="0"/>
    <s v="North-Alice"/>
  </r>
  <r>
    <n v="1047"/>
    <d v="2023-07-25T00:00:00"/>
    <s v="Charlie"/>
    <x v="3"/>
    <n v="2936.54"/>
    <x v="12"/>
    <s v="Furniture"/>
    <n v="3484.62"/>
    <n v="3781.5499999999902"/>
    <s v="Returning"/>
    <n v="0.21"/>
    <x v="2"/>
    <x v="1"/>
    <s v="East-Charlie"/>
  </r>
  <r>
    <n v="1023"/>
    <d v="2023-09-30T00:00:00"/>
    <s v="Charlie"/>
    <x v="0"/>
    <n v="8046.14"/>
    <x v="29"/>
    <s v="Furniture"/>
    <n v="1563.78"/>
    <n v="1829.1599999999901"/>
    <s v="Returning"/>
    <n v="0.15"/>
    <x v="0"/>
    <x v="0"/>
    <s v="North-Charlie"/>
  </r>
  <r>
    <n v="1079"/>
    <d v="2023-08-24T00:00:00"/>
    <s v="Alice"/>
    <x v="0"/>
    <n v="9972.66"/>
    <x v="29"/>
    <s v="Clothing"/>
    <n v="3808.23"/>
    <n v="3891.62"/>
    <s v="Returning"/>
    <n v="0.26"/>
    <x v="1"/>
    <x v="0"/>
    <s v="North-Alice"/>
  </r>
  <r>
    <n v="1085"/>
    <d v="2023-12-06T00:00:00"/>
    <s v="Eve"/>
    <x v="0"/>
    <n v="397.26"/>
    <x v="31"/>
    <s v="Electronics"/>
    <n v="3117.75"/>
    <n v="3159.88"/>
    <s v="New"/>
    <n v="0.04"/>
    <x v="0"/>
    <x v="1"/>
    <s v="North-Eve"/>
  </r>
  <r>
    <n v="1014"/>
    <d v="2023-08-16T00:00:00"/>
    <s v="David"/>
    <x v="2"/>
    <n v="8983.92"/>
    <x v="42"/>
    <s v="Furniture"/>
    <n v="433.19"/>
    <n v="800.6"/>
    <s v="Returning"/>
    <n v="0.2"/>
    <x v="0"/>
    <x v="0"/>
    <s v="South-David"/>
  </r>
  <r>
    <n v="1066"/>
    <d v="2023-01-09T00:00:00"/>
    <s v="Alice"/>
    <x v="0"/>
    <n v="6264.04"/>
    <x v="10"/>
    <s v="Clothing"/>
    <n v="2588.54"/>
    <n v="2872.8"/>
    <s v="New"/>
    <n v="0.17"/>
    <x v="0"/>
    <x v="0"/>
    <s v="North-Alice"/>
  </r>
  <r>
    <n v="1075"/>
    <d v="2023-06-15T00:00:00"/>
    <s v="Eve"/>
    <x v="0"/>
    <n v="9736.49"/>
    <x v="42"/>
    <s v="Furniture"/>
    <n v="1749.34"/>
    <n v="1935.25"/>
    <s v="New"/>
    <n v="0.14000000000000001"/>
    <x v="2"/>
    <x v="0"/>
    <s v="North-Eve"/>
  </r>
  <r>
    <n v="1051"/>
    <d v="2023-11-15T00:00:00"/>
    <s v="Alice"/>
    <x v="0"/>
    <n v="4703.59"/>
    <x v="18"/>
    <s v="Electronics"/>
    <n v="1676.42"/>
    <n v="2082.52"/>
    <s v="New"/>
    <n v="0.15"/>
    <x v="1"/>
    <x v="1"/>
    <s v="North-Alice"/>
  </r>
  <r>
    <n v="1038"/>
    <d v="2023-08-02T00:00:00"/>
    <s v="Alice"/>
    <x v="3"/>
    <n v="8489.14"/>
    <x v="8"/>
    <s v="Furniture"/>
    <n v="3031.17"/>
    <n v="3231.32"/>
    <s v="Returning"/>
    <n v="0.22"/>
    <x v="0"/>
    <x v="1"/>
    <s v="East-Alice"/>
  </r>
  <r>
    <n v="1064"/>
    <d v="2023-04-27T00:00:00"/>
    <s v="Bob"/>
    <x v="0"/>
    <n v="717.7"/>
    <x v="4"/>
    <s v="Clothing"/>
    <n v="1645.51"/>
    <n v="2045.53"/>
    <s v="Returning"/>
    <n v="0.28000000000000003"/>
    <x v="0"/>
    <x v="1"/>
    <s v="North-Bob"/>
  </r>
  <r>
    <n v="1098"/>
    <d v="2023-12-10T00:00:00"/>
    <s v="Eve"/>
    <x v="3"/>
    <n v="3419.26"/>
    <x v="40"/>
    <s v="Electronics"/>
    <n v="3895.62"/>
    <n v="4055.44"/>
    <s v="New"/>
    <n v="0.03"/>
    <x v="1"/>
    <x v="1"/>
    <s v="East-Eve"/>
  </r>
  <r>
    <n v="1038"/>
    <d v="2023-03-13T00:00:00"/>
    <s v="David"/>
    <x v="0"/>
    <n v="763.46"/>
    <x v="14"/>
    <s v="Clothing"/>
    <n v="400.42"/>
    <n v="446.11"/>
    <s v="New"/>
    <n v="0.01"/>
    <x v="1"/>
    <x v="1"/>
    <s v="North-David"/>
  </r>
  <r>
    <n v="1050"/>
    <d v="2023-03-05T00:00:00"/>
    <s v="Bob"/>
    <x v="0"/>
    <n v="9755.9"/>
    <x v="46"/>
    <s v="Electronics"/>
    <n v="3318.92"/>
    <n v="3785.91"/>
    <s v="New"/>
    <n v="0.24"/>
    <x v="1"/>
    <x v="0"/>
    <s v="North-Bob"/>
  </r>
  <r>
    <n v="1098"/>
    <d v="2023-07-24T00:00:00"/>
    <s v="Alice"/>
    <x v="2"/>
    <n v="8188.04"/>
    <x v="12"/>
    <s v="Electronics"/>
    <n v="4055.51"/>
    <n v="4258.84"/>
    <s v="Returning"/>
    <n v="0.03"/>
    <x v="2"/>
    <x v="0"/>
    <s v="South-Alice"/>
  </r>
  <r>
    <n v="1082"/>
    <d v="2023-07-28T00:00:00"/>
    <s v="Alice"/>
    <x v="3"/>
    <n v="8540.2199999999993"/>
    <x v="10"/>
    <s v="Food"/>
    <n v="3380.52"/>
    <n v="3778.94"/>
    <s v="Returning"/>
    <n v="0.3"/>
    <x v="1"/>
    <x v="0"/>
    <s v="East-Alice"/>
  </r>
  <r>
    <n v="1030"/>
    <d v="2023-03-13T00:00:00"/>
    <s v="Alice"/>
    <x v="0"/>
    <n v="9385.86"/>
    <x v="3"/>
    <s v="Food"/>
    <n v="2511.2800000000002"/>
    <n v="2658.06"/>
    <s v="New"/>
    <n v="0.19"/>
    <x v="2"/>
    <x v="1"/>
    <s v="North-Alice"/>
  </r>
  <r>
    <n v="1079"/>
    <d v="2023-10-04T00:00:00"/>
    <s v="Eve"/>
    <x v="3"/>
    <n v="942.52"/>
    <x v="26"/>
    <s v="Food"/>
    <n v="4754.0200000000004"/>
    <n v="5080.74"/>
    <s v="New"/>
    <n v="0.2"/>
    <x v="0"/>
    <x v="0"/>
    <s v="East-Eve"/>
  </r>
  <r>
    <n v="1091"/>
    <d v="2023-10-01T00:00:00"/>
    <s v="Eve"/>
    <x v="3"/>
    <n v="3917.42"/>
    <x v="13"/>
    <s v="Electronics"/>
    <n v="1534.7"/>
    <n v="1972.62"/>
    <s v="Returning"/>
    <n v="0.06"/>
    <x v="2"/>
    <x v="1"/>
    <s v="East-Eve"/>
  </r>
  <r>
    <n v="1051"/>
    <d v="2023-11-16T00:00:00"/>
    <s v="Bob"/>
    <x v="1"/>
    <n v="803.25"/>
    <x v="17"/>
    <s v="Furniture"/>
    <n v="144.88"/>
    <n v="175.29"/>
    <s v="New"/>
    <n v="7.0000000000000007E-2"/>
    <x v="1"/>
    <x v="0"/>
    <s v="West-Bob"/>
  </r>
  <r>
    <n v="1063"/>
    <d v="2023-12-04T00:00:00"/>
    <s v="David"/>
    <x v="2"/>
    <n v="2186.85"/>
    <x v="28"/>
    <s v="Clothing"/>
    <n v="2188.35"/>
    <n v="2605.3599999999901"/>
    <s v="Returning"/>
    <n v="0.2"/>
    <x v="2"/>
    <x v="1"/>
    <s v="South-David"/>
  </r>
  <r>
    <n v="1098"/>
    <d v="2024-01-01T00:00:00"/>
    <s v="Bob"/>
    <x v="2"/>
    <n v="2370.7199999999998"/>
    <x v="23"/>
    <s v="Clothing"/>
    <n v="213.41"/>
    <n v="503.36"/>
    <s v="Returning"/>
    <n v="0.27"/>
    <x v="1"/>
    <x v="0"/>
    <s v="South-Bob"/>
  </r>
  <r>
    <n v="1052"/>
    <d v="2023-04-05T00:00:00"/>
    <s v="Charlie"/>
    <x v="2"/>
    <n v="4744.16"/>
    <x v="42"/>
    <s v="Clothing"/>
    <n v="4771.99"/>
    <n v="5079.6499999999996"/>
    <s v="New"/>
    <n v="0.28999999999999998"/>
    <x v="2"/>
    <x v="0"/>
    <s v="South-Charlie"/>
  </r>
  <r>
    <n v="1038"/>
    <d v="2023-06-15T00:00:00"/>
    <s v="Alice"/>
    <x v="1"/>
    <n v="2758.77"/>
    <x v="31"/>
    <s v="Food"/>
    <n v="1089.0899999999999"/>
    <n v="1355.44"/>
    <s v="New"/>
    <n v="0.06"/>
    <x v="0"/>
    <x v="1"/>
    <s v="West-Alice"/>
  </r>
  <r>
    <n v="1097"/>
    <d v="2023-02-01T00:00:00"/>
    <s v="Alice"/>
    <x v="1"/>
    <n v="1099.68"/>
    <x v="30"/>
    <s v="Electronics"/>
    <n v="3955.19"/>
    <n v="4393.68"/>
    <s v="Returning"/>
    <n v="0.04"/>
    <x v="2"/>
    <x v="0"/>
    <s v="West-Alice"/>
  </r>
  <r>
    <n v="1088"/>
    <d v="2023-01-11T00:00:00"/>
    <s v="Alice"/>
    <x v="2"/>
    <n v="1758.16"/>
    <x v="23"/>
    <s v="Food"/>
    <n v="3884.13"/>
    <n v="3915.41"/>
    <s v="Returning"/>
    <n v="0.02"/>
    <x v="0"/>
    <x v="0"/>
    <s v="South-Alice"/>
  </r>
  <r>
    <n v="1079"/>
    <d v="2023-10-28T00:00:00"/>
    <s v="Bob"/>
    <x v="1"/>
    <n v="1558.03"/>
    <x v="34"/>
    <s v="Furniture"/>
    <n v="1127.76"/>
    <n v="1265.6600000000001"/>
    <s v="Returning"/>
    <n v="0.26"/>
    <x v="1"/>
    <x v="1"/>
    <s v="West-Bob"/>
  </r>
  <r>
    <n v="1030"/>
    <d v="2023-08-05T00:00:00"/>
    <s v="Bob"/>
    <x v="1"/>
    <n v="9733.4599999999991"/>
    <x v="24"/>
    <s v="Electronics"/>
    <n v="3125.07"/>
    <n v="3564.19"/>
    <s v="Returning"/>
    <n v="0.09"/>
    <x v="0"/>
    <x v="0"/>
    <s v="West-Bob"/>
  </r>
  <r>
    <n v="1051"/>
    <d v="2023-10-16T00:00:00"/>
    <s v="Alice"/>
    <x v="1"/>
    <n v="7617"/>
    <x v="8"/>
    <s v="Clothing"/>
    <n v="287.99"/>
    <n v="666.64"/>
    <s v="Returning"/>
    <n v="0"/>
    <x v="1"/>
    <x v="0"/>
    <s v="West-Alice"/>
  </r>
  <r>
    <n v="1081"/>
    <d v="2023-04-12T00:00:00"/>
    <s v="Bob"/>
    <x v="2"/>
    <n v="9680.84"/>
    <x v="12"/>
    <s v="Food"/>
    <n v="2443.69"/>
    <n v="2462.34"/>
    <s v="New"/>
    <n v="7.0000000000000007E-2"/>
    <x v="1"/>
    <x v="1"/>
    <s v="South-Bob"/>
  </r>
  <r>
    <n v="1005"/>
    <d v="2023-09-24T00:00:00"/>
    <s v="Eve"/>
    <x v="2"/>
    <n v="4453.43"/>
    <x v="32"/>
    <s v="Food"/>
    <n v="122.5"/>
    <n v="385.83"/>
    <s v="Returning"/>
    <n v="0.1"/>
    <x v="0"/>
    <x v="1"/>
    <s v="South-Eve"/>
  </r>
  <r>
    <n v="1029"/>
    <d v="2023-08-02T00:00:00"/>
    <s v="Eve"/>
    <x v="2"/>
    <n v="2855.85"/>
    <x v="7"/>
    <s v="Furniture"/>
    <n v="4609.66"/>
    <n v="4879.1499999999996"/>
    <s v="Returning"/>
    <n v="0.3"/>
    <x v="0"/>
    <x v="1"/>
    <s v="South-Eve"/>
  </r>
  <r>
    <n v="1004"/>
    <d v="2023-06-28T00:00:00"/>
    <s v="Bob"/>
    <x v="1"/>
    <n v="8003.1"/>
    <x v="34"/>
    <s v="Furniture"/>
    <n v="4881.63"/>
    <n v="5088.0600000000004"/>
    <s v="Returning"/>
    <n v="0.16"/>
    <x v="2"/>
    <x v="1"/>
    <s v="West-Bob"/>
  </r>
  <r>
    <n v="1010"/>
    <d v="2023-03-29T00:00:00"/>
    <s v="Alice"/>
    <x v="2"/>
    <n v="3329.91"/>
    <x v="37"/>
    <s v="Food"/>
    <n v="1150.3"/>
    <n v="1306.02"/>
    <s v="New"/>
    <n v="0.06"/>
    <x v="2"/>
    <x v="1"/>
    <s v="South-Alice"/>
  </r>
  <r>
    <n v="1056"/>
    <d v="2023-02-10T00:00:00"/>
    <s v="Bob"/>
    <x v="1"/>
    <n v="3063.9"/>
    <x v="31"/>
    <s v="Furniture"/>
    <n v="1080.1199999999999"/>
    <n v="1424.1699999999901"/>
    <s v="New"/>
    <n v="0.1"/>
    <x v="0"/>
    <x v="0"/>
    <s v="West-Bob"/>
  </r>
  <r>
    <n v="1017"/>
    <d v="2023-03-17T00:00:00"/>
    <s v="Bob"/>
    <x v="0"/>
    <n v="2401.81"/>
    <x v="40"/>
    <s v="Clothing"/>
    <n v="3780.91"/>
    <n v="3892.73"/>
    <s v="Returning"/>
    <n v="0.1"/>
    <x v="0"/>
    <x v="1"/>
    <s v="North-Bob"/>
  </r>
  <r>
    <n v="1074"/>
    <d v="2023-02-15T00:00:00"/>
    <s v="Bob"/>
    <x v="1"/>
    <n v="1383.82"/>
    <x v="21"/>
    <s v="Furniture"/>
    <n v="1304.23"/>
    <n v="1705.71"/>
    <s v="Returning"/>
    <n v="0.01"/>
    <x v="0"/>
    <x v="1"/>
    <s v="West-Bob"/>
  </r>
  <r>
    <n v="1017"/>
    <d v="2023-06-09T00:00:00"/>
    <s v="Charlie"/>
    <x v="3"/>
    <n v="2638.98"/>
    <x v="22"/>
    <s v="Furniture"/>
    <n v="4480.63"/>
    <n v="4884.12"/>
    <s v="New"/>
    <n v="0.04"/>
    <x v="0"/>
    <x v="0"/>
    <s v="East-Charlie"/>
  </r>
  <r>
    <n v="1084"/>
    <d v="2023-03-21T00:00:00"/>
    <s v="Eve"/>
    <x v="2"/>
    <n v="3617.67"/>
    <x v="11"/>
    <s v="Food"/>
    <n v="2890.95"/>
    <n v="3104.43"/>
    <s v="New"/>
    <n v="0.21"/>
    <x v="1"/>
    <x v="0"/>
    <s v="South-Eve"/>
  </r>
  <r>
    <n v="1088"/>
    <d v="2023-11-06T00:00:00"/>
    <s v="David"/>
    <x v="2"/>
    <n v="6772.54"/>
    <x v="29"/>
    <s v="Food"/>
    <n v="1786.35"/>
    <n v="1935.29"/>
    <s v="New"/>
    <n v="0.04"/>
    <x v="0"/>
    <x v="0"/>
    <s v="South-David"/>
  </r>
  <r>
    <n v="1069"/>
    <d v="2023-03-27T00:00:00"/>
    <s v="David"/>
    <x v="3"/>
    <n v="719.39"/>
    <x v="20"/>
    <s v="Electronics"/>
    <n v="4171.83"/>
    <n v="4320.93"/>
    <s v="New"/>
    <n v="7.0000000000000007E-2"/>
    <x v="0"/>
    <x v="0"/>
    <s v="East-David"/>
  </r>
  <r>
    <n v="1034"/>
    <d v="2023-04-02T00:00:00"/>
    <s v="Charlie"/>
    <x v="1"/>
    <n v="2184.02"/>
    <x v="48"/>
    <s v="Electronics"/>
    <n v="2492.36"/>
    <n v="2738.68"/>
    <s v="Returning"/>
    <n v="0.11"/>
    <x v="0"/>
    <x v="0"/>
    <s v="West-Charlie"/>
  </r>
  <r>
    <n v="1006"/>
    <d v="2023-05-28T00:00:00"/>
    <s v="Bob"/>
    <x v="0"/>
    <n v="8109.33"/>
    <x v="23"/>
    <s v="Food"/>
    <n v="4562.58"/>
    <n v="4925.17"/>
    <s v="New"/>
    <n v="0.23"/>
    <x v="0"/>
    <x v="1"/>
    <s v="North-Bob"/>
  </r>
  <r>
    <n v="1053"/>
    <d v="2023-06-10T00:00:00"/>
    <s v="Charlie"/>
    <x v="3"/>
    <n v="1554.53"/>
    <x v="3"/>
    <s v="Furniture"/>
    <n v="4643.67"/>
    <n v="4829.5200000000004"/>
    <s v="Returning"/>
    <n v="0.17"/>
    <x v="1"/>
    <x v="0"/>
    <s v="East-Charlie"/>
  </r>
  <r>
    <n v="1066"/>
    <d v="2023-07-21T00:00:00"/>
    <s v="Charlie"/>
    <x v="3"/>
    <n v="3492.19"/>
    <x v="41"/>
    <s v="Furniture"/>
    <n v="868.83"/>
    <n v="1177.75"/>
    <s v="Returning"/>
    <n v="0.21"/>
    <x v="2"/>
    <x v="1"/>
    <s v="East-Charlie"/>
  </r>
  <r>
    <n v="1077"/>
    <d v="2023-08-30T00:00:00"/>
    <s v="Alice"/>
    <x v="1"/>
    <n v="8660.1200000000008"/>
    <x v="44"/>
    <s v="Electronics"/>
    <n v="61.5"/>
    <n v="258.91999999999899"/>
    <s v="New"/>
    <n v="0.17"/>
    <x v="2"/>
    <x v="0"/>
    <s v="West-Alice"/>
  </r>
  <r>
    <n v="1043"/>
    <d v="2023-12-19T00:00:00"/>
    <s v="Eve"/>
    <x v="2"/>
    <n v="1633.76"/>
    <x v="26"/>
    <s v="Electronics"/>
    <n v="4920.46"/>
    <n v="5079.68"/>
    <s v="New"/>
    <n v="0.21"/>
    <x v="2"/>
    <x v="1"/>
    <s v="South-Eve"/>
  </r>
  <r>
    <n v="1075"/>
    <d v="2023-01-02T00:00:00"/>
    <s v="David"/>
    <x v="1"/>
    <n v="919.09"/>
    <x v="42"/>
    <s v="Electronics"/>
    <n v="4535.38"/>
    <n v="4557.5600000000004"/>
    <s v="New"/>
    <n v="0"/>
    <x v="2"/>
    <x v="0"/>
    <s v="West-David"/>
  </r>
  <r>
    <n v="1023"/>
    <d v="2023-08-13T00:00:00"/>
    <s v="Bob"/>
    <x v="3"/>
    <n v="4896.93"/>
    <x v="34"/>
    <s v="Clothing"/>
    <n v="324.45"/>
    <n v="336.37"/>
    <s v="New"/>
    <n v="0.28000000000000003"/>
    <x v="2"/>
    <x v="1"/>
    <s v="East-Bob"/>
  </r>
  <r>
    <n v="1055"/>
    <d v="2023-10-16T00:00:00"/>
    <s v="David"/>
    <x v="3"/>
    <n v="3093.95"/>
    <x v="7"/>
    <s v="Clothing"/>
    <n v="4173.5200000000004"/>
    <n v="4294.8500000000004"/>
    <s v="Returning"/>
    <n v="0.03"/>
    <x v="1"/>
    <x v="1"/>
    <s v="East-David"/>
  </r>
  <r>
    <n v="1080"/>
    <d v="2023-08-21T00:00:00"/>
    <s v="David"/>
    <x v="2"/>
    <n v="5677.74"/>
    <x v="26"/>
    <s v="Electronics"/>
    <n v="2316.13"/>
    <n v="2525.27"/>
    <s v="Returning"/>
    <n v="0.12"/>
    <x v="2"/>
    <x v="1"/>
    <s v="South-David"/>
  </r>
  <r>
    <n v="1095"/>
    <d v="2023-03-18T00:00:00"/>
    <s v="Eve"/>
    <x v="2"/>
    <n v="8057.67"/>
    <x v="8"/>
    <s v="Furniture"/>
    <n v="1331.86"/>
    <n v="1758.98"/>
    <s v="Returning"/>
    <n v="0.23"/>
    <x v="1"/>
    <x v="1"/>
    <s v="South-Eve"/>
  </r>
  <r>
    <n v="1075"/>
    <d v="2023-04-26T00:00:00"/>
    <s v="David"/>
    <x v="2"/>
    <n v="1457.77"/>
    <x v="35"/>
    <s v="Electronics"/>
    <n v="4399.8"/>
    <n v="4801.0600000000004"/>
    <s v="New"/>
    <n v="0.13"/>
    <x v="1"/>
    <x v="1"/>
    <s v="South-David"/>
  </r>
  <r>
    <n v="1016"/>
    <d v="2023-06-03T00:00:00"/>
    <s v="David"/>
    <x v="1"/>
    <n v="5848.92"/>
    <x v="7"/>
    <s v="Clothing"/>
    <n v="1023.5"/>
    <n v="1164.4100000000001"/>
    <s v="Returning"/>
    <n v="0.28000000000000003"/>
    <x v="2"/>
    <x v="1"/>
    <s v="West-David"/>
  </r>
  <r>
    <n v="1008"/>
    <d v="2023-04-13T00:00:00"/>
    <s v="Charlie"/>
    <x v="2"/>
    <n v="5104.54"/>
    <x v="38"/>
    <s v="Furniture"/>
    <n v="4739.13"/>
    <n v="4868.95"/>
    <s v="New"/>
    <n v="0.14000000000000001"/>
    <x v="2"/>
    <x v="1"/>
    <s v="South-Charlie"/>
  </r>
  <r>
    <n v="1004"/>
    <d v="2023-07-13T00:00:00"/>
    <s v="Eve"/>
    <x v="3"/>
    <n v="1526.38"/>
    <x v="25"/>
    <s v="Clothing"/>
    <n v="1067.83"/>
    <n v="1189.22"/>
    <s v="Returning"/>
    <n v="0.26"/>
    <x v="2"/>
    <x v="1"/>
    <s v="East-Eve"/>
  </r>
  <r>
    <n v="1004"/>
    <d v="2023-06-15T00:00:00"/>
    <s v="Alice"/>
    <x v="3"/>
    <n v="6277.59"/>
    <x v="4"/>
    <s v="Furniture"/>
    <n v="3087.73"/>
    <n v="3263.96"/>
    <s v="New"/>
    <n v="0.24"/>
    <x v="0"/>
    <x v="1"/>
    <s v="East-Alice"/>
  </r>
  <r>
    <n v="1056"/>
    <d v="2023-12-25T00:00:00"/>
    <s v="Bob"/>
    <x v="0"/>
    <n v="2809.04"/>
    <x v="44"/>
    <s v="Clothing"/>
    <n v="1154.28"/>
    <n v="1408.4"/>
    <s v="Returning"/>
    <n v="0.28999999999999998"/>
    <x v="1"/>
    <x v="1"/>
    <s v="North-Bob"/>
  </r>
  <r>
    <n v="1025"/>
    <d v="2023-03-31T00:00:00"/>
    <s v="David"/>
    <x v="1"/>
    <n v="4929.5600000000004"/>
    <x v="41"/>
    <s v="Furniture"/>
    <n v="2751.06"/>
    <n v="2976.0099999999902"/>
    <s v="Returning"/>
    <n v="0.28000000000000003"/>
    <x v="2"/>
    <x v="0"/>
    <s v="West-David"/>
  </r>
  <r>
    <n v="1067"/>
    <d v="2023-06-23T00:00:00"/>
    <s v="Bob"/>
    <x v="0"/>
    <n v="914.5"/>
    <x v="23"/>
    <s v="Furniture"/>
    <n v="3435.68"/>
    <n v="3552.6299999999901"/>
    <s v="New"/>
    <n v="0.27"/>
    <x v="0"/>
    <x v="1"/>
    <s v="North-Bob"/>
  </r>
  <r>
    <n v="1096"/>
    <d v="2023-05-02T00:00:00"/>
    <s v="Alice"/>
    <x v="3"/>
    <n v="4649.88"/>
    <x v="5"/>
    <s v="Furniture"/>
    <n v="991.63"/>
    <n v="1065.55"/>
    <s v="Returning"/>
    <n v="0.22"/>
    <x v="1"/>
    <x v="1"/>
    <s v="East-Alice"/>
  </r>
  <r>
    <n v="1067"/>
    <d v="2023-05-23T00:00:00"/>
    <s v="Bob"/>
    <x v="0"/>
    <n v="3133.99"/>
    <x v="37"/>
    <s v="Furniture"/>
    <n v="2628.38"/>
    <n v="2644.54"/>
    <s v="Returning"/>
    <n v="0.11"/>
    <x v="0"/>
    <x v="0"/>
    <s v="North-Bob"/>
  </r>
  <r>
    <n v="1027"/>
    <d v="2023-04-16T00:00:00"/>
    <s v="Alice"/>
    <x v="3"/>
    <n v="8241.57"/>
    <x v="48"/>
    <s v="Food"/>
    <n v="2371.85"/>
    <n v="2457.29"/>
    <s v="New"/>
    <n v="0.03"/>
    <x v="0"/>
    <x v="1"/>
    <s v="East-Alice"/>
  </r>
  <r>
    <n v="1093"/>
    <d v="2023-11-01T00:00:00"/>
    <s v="Charlie"/>
    <x v="0"/>
    <n v="664.09"/>
    <x v="7"/>
    <s v="Clothing"/>
    <n v="401.64"/>
    <n v="757.26"/>
    <s v="New"/>
    <n v="0.21"/>
    <x v="2"/>
    <x v="1"/>
    <s v="North-Charlie"/>
  </r>
  <r>
    <n v="1032"/>
    <d v="2023-12-26T00:00:00"/>
    <s v="David"/>
    <x v="2"/>
    <n v="4244.21"/>
    <x v="23"/>
    <s v="Clothing"/>
    <n v="4100.62"/>
    <n v="4230"/>
    <s v="New"/>
    <n v="0.28999999999999998"/>
    <x v="1"/>
    <x v="0"/>
    <s v="South-David"/>
  </r>
  <r>
    <n v="1050"/>
    <d v="2023-11-13T00:00:00"/>
    <s v="Alice"/>
    <x v="0"/>
    <n v="4638.47"/>
    <x v="40"/>
    <s v="Food"/>
    <n v="1711.63"/>
    <n v="1951.24"/>
    <s v="New"/>
    <n v="0.22"/>
    <x v="0"/>
    <x v="0"/>
    <s v="North-Alice"/>
  </r>
  <r>
    <n v="1061"/>
    <d v="2023-05-03T00:00:00"/>
    <s v="Bob"/>
    <x v="2"/>
    <n v="7277.56"/>
    <x v="36"/>
    <s v="Furniture"/>
    <n v="2894.18"/>
    <n v="3193.92"/>
    <s v="New"/>
    <n v="0.28000000000000003"/>
    <x v="1"/>
    <x v="1"/>
    <s v="South-Bob"/>
  </r>
  <r>
    <n v="1051"/>
    <d v="2023-01-09T00:00:00"/>
    <s v="David"/>
    <x v="2"/>
    <n v="5785.45"/>
    <x v="18"/>
    <s v="Furniture"/>
    <n v="2598.1799999999998"/>
    <n v="3042.73"/>
    <s v="Returning"/>
    <n v="0.24"/>
    <x v="2"/>
    <x v="0"/>
    <s v="South-David"/>
  </r>
  <r>
    <n v="1019"/>
    <d v="2023-09-19T00:00:00"/>
    <s v="Charlie"/>
    <x v="1"/>
    <n v="6705.4"/>
    <x v="27"/>
    <s v="Clothing"/>
    <n v="2590.64"/>
    <n v="3036.18"/>
    <s v="New"/>
    <n v="0.05"/>
    <x v="1"/>
    <x v="1"/>
    <s v="West-Charlie"/>
  </r>
  <r>
    <n v="1021"/>
    <d v="2023-03-14T00:00:00"/>
    <s v="David"/>
    <x v="2"/>
    <n v="7792.79"/>
    <x v="18"/>
    <s v="Food"/>
    <n v="580.75"/>
    <n v="956.16"/>
    <s v="Returning"/>
    <n v="7.0000000000000007E-2"/>
    <x v="0"/>
    <x v="1"/>
    <s v="South-David"/>
  </r>
  <r>
    <n v="1005"/>
    <d v="2023-12-25T00:00:00"/>
    <s v="Alice"/>
    <x v="2"/>
    <n v="8635.81"/>
    <x v="40"/>
    <s v="Furniture"/>
    <n v="2146.2399999999998"/>
    <n v="2173.4699999999998"/>
    <s v="Returning"/>
    <n v="0.1"/>
    <x v="0"/>
    <x v="1"/>
    <s v="South-Alice"/>
  </r>
  <r>
    <n v="1082"/>
    <d v="2023-08-11T00:00:00"/>
    <s v="Charlie"/>
    <x v="0"/>
    <n v="3207.37"/>
    <x v="8"/>
    <s v="Furniture"/>
    <n v="2289.2199999999998"/>
    <n v="2581"/>
    <s v="New"/>
    <n v="0.05"/>
    <x v="1"/>
    <x v="0"/>
    <s v="North-Charlie"/>
  </r>
  <r>
    <n v="1092"/>
    <d v="2023-02-10T00:00:00"/>
    <s v="Bob"/>
    <x v="3"/>
    <n v="5426.42"/>
    <x v="20"/>
    <s v="Furniture"/>
    <n v="3681.53"/>
    <n v="4076.96"/>
    <s v="Returning"/>
    <n v="0.17"/>
    <x v="0"/>
    <x v="1"/>
    <s v="East-Bob"/>
  </r>
  <r>
    <n v="1042"/>
    <d v="2023-07-23T00:00:00"/>
    <s v="Charlie"/>
    <x v="1"/>
    <n v="8417.07"/>
    <x v="42"/>
    <s v="Electronics"/>
    <n v="4208.09"/>
    <n v="4226.5600000000004"/>
    <s v="Returning"/>
    <n v="0.28999999999999998"/>
    <x v="0"/>
    <x v="1"/>
    <s v="West-Charlie"/>
  </r>
  <r>
    <n v="1061"/>
    <d v="2023-09-21T00:00:00"/>
    <s v="Charlie"/>
    <x v="2"/>
    <n v="9895.57"/>
    <x v="44"/>
    <s v="Food"/>
    <n v="2747.66"/>
    <n v="3027.0099999999902"/>
    <s v="New"/>
    <n v="0.23"/>
    <x v="0"/>
    <x v="0"/>
    <s v="South-Charlie"/>
  </r>
  <r>
    <n v="1022"/>
    <d v="2023-11-24T00:00:00"/>
    <s v="Eve"/>
    <x v="1"/>
    <n v="8906.24"/>
    <x v="6"/>
    <s v="Furniture"/>
    <n v="479.58"/>
    <n v="909.88"/>
    <s v="Returning"/>
    <n v="0.13"/>
    <x v="2"/>
    <x v="1"/>
    <s v="West-Eve"/>
  </r>
  <r>
    <n v="1021"/>
    <d v="2023-06-27T00:00:00"/>
    <s v="Charlie"/>
    <x v="0"/>
    <n v="3777.53"/>
    <x v="12"/>
    <s v="Electronics"/>
    <n v="1222.4000000000001"/>
    <n v="1464.71"/>
    <s v="New"/>
    <n v="0"/>
    <x v="2"/>
    <x v="1"/>
    <s v="North-Charlie"/>
  </r>
  <r>
    <n v="1070"/>
    <d v="2023-12-14T00:00:00"/>
    <s v="Charlie"/>
    <x v="2"/>
    <n v="2032.15"/>
    <x v="19"/>
    <s v="Food"/>
    <n v="866.42"/>
    <n v="878.43"/>
    <s v="New"/>
    <n v="0.09"/>
    <x v="0"/>
    <x v="1"/>
    <s v="South-Charlie"/>
  </r>
  <r>
    <n v="1001"/>
    <d v="2023-11-14T00:00:00"/>
    <s v="David"/>
    <x v="0"/>
    <n v="4944.99"/>
    <x v="43"/>
    <s v="Furniture"/>
    <n v="666.84"/>
    <n v="682.24"/>
    <s v="New"/>
    <n v="0.16"/>
    <x v="1"/>
    <x v="1"/>
    <s v="North-David"/>
  </r>
  <r>
    <n v="1005"/>
    <d v="2023-03-25T00:00:00"/>
    <s v="Bob"/>
    <x v="1"/>
    <n v="7442.25"/>
    <x v="28"/>
    <s v="Clothing"/>
    <n v="1861.2"/>
    <n v="2075.35"/>
    <s v="Returning"/>
    <n v="0.1"/>
    <x v="2"/>
    <x v="1"/>
    <s v="West-Bob"/>
  </r>
  <r>
    <n v="1012"/>
    <d v="2023-11-14T00:00:00"/>
    <s v="David"/>
    <x v="0"/>
    <n v="4976.43"/>
    <x v="28"/>
    <s v="Electronics"/>
    <n v="1185.5"/>
    <n v="1271.45"/>
    <s v="Returning"/>
    <n v="0.03"/>
    <x v="1"/>
    <x v="1"/>
    <s v="North-David"/>
  </r>
  <r>
    <n v="1090"/>
    <d v="2023-04-21T00:00:00"/>
    <s v="David"/>
    <x v="1"/>
    <n v="4883.49"/>
    <x v="22"/>
    <s v="Electronics"/>
    <n v="1130.5999999999999"/>
    <n v="1466.1799999999901"/>
    <s v="Returning"/>
    <n v="0.13"/>
    <x v="0"/>
    <x v="0"/>
    <s v="West-David"/>
  </r>
  <r>
    <n v="1046"/>
    <d v="2023-09-08T00:00:00"/>
    <s v="Alice"/>
    <x v="0"/>
    <n v="8398.48"/>
    <x v="2"/>
    <s v="Furniture"/>
    <n v="320.73"/>
    <n v="678.04"/>
    <s v="Returning"/>
    <n v="0.08"/>
    <x v="0"/>
    <x v="1"/>
    <s v="North-Alice"/>
  </r>
  <r>
    <n v="1034"/>
    <d v="2023-01-07T00:00:00"/>
    <s v="David"/>
    <x v="1"/>
    <n v="3677.9"/>
    <x v="40"/>
    <s v="Furniture"/>
    <n v="137.47"/>
    <n v="234.63"/>
    <s v="New"/>
    <n v="0.27"/>
    <x v="1"/>
    <x v="1"/>
    <s v="West-David"/>
  </r>
  <r>
    <n v="1049"/>
    <d v="2023-03-25T00:00:00"/>
    <s v="Eve"/>
    <x v="3"/>
    <n v="8611.9699999999993"/>
    <x v="1"/>
    <s v="Electronics"/>
    <n v="558.70000000000005"/>
    <n v="1004.08"/>
    <s v="Returning"/>
    <n v="0.03"/>
    <x v="2"/>
    <x v="0"/>
    <s v="East-Eve"/>
  </r>
  <r>
    <n v="1078"/>
    <d v="2023-07-27T00:00:00"/>
    <s v="Eve"/>
    <x v="0"/>
    <n v="4127.37"/>
    <x v="45"/>
    <s v="Clothing"/>
    <n v="902.38"/>
    <n v="1128.9100000000001"/>
    <s v="New"/>
    <n v="0.01"/>
    <x v="1"/>
    <x v="1"/>
    <s v="North-Eve"/>
  </r>
  <r>
    <n v="1090"/>
    <d v="2023-11-10T00:00:00"/>
    <s v="Alice"/>
    <x v="0"/>
    <n v="3349.51"/>
    <x v="25"/>
    <s v="Clothing"/>
    <n v="2183.37"/>
    <n v="2263.3599999999901"/>
    <s v="Returning"/>
    <n v="0"/>
    <x v="1"/>
    <x v="1"/>
    <s v="North-Alice"/>
  </r>
  <r>
    <n v="1045"/>
    <d v="2023-01-22T00:00:00"/>
    <s v="Bob"/>
    <x v="3"/>
    <n v="4594.5"/>
    <x v="7"/>
    <s v="Food"/>
    <n v="2577.08"/>
    <n v="2961.56"/>
    <s v="Returning"/>
    <n v="0.1"/>
    <x v="0"/>
    <x v="0"/>
    <s v="East-Bob"/>
  </r>
  <r>
    <n v="1027"/>
    <d v="2023-01-03T00:00:00"/>
    <s v="Bob"/>
    <x v="3"/>
    <n v="7648.22"/>
    <x v="2"/>
    <s v="Furniture"/>
    <n v="745.93"/>
    <n v="1143.02"/>
    <s v="Returning"/>
    <n v="0.2"/>
    <x v="2"/>
    <x v="0"/>
    <s v="East-Bob"/>
  </r>
  <r>
    <n v="1073"/>
    <d v="2023-05-07T00:00:00"/>
    <s v="David"/>
    <x v="0"/>
    <n v="1347.42"/>
    <x v="6"/>
    <s v="Clothing"/>
    <n v="2152.6799999999998"/>
    <n v="2475.9299999999998"/>
    <s v="Returning"/>
    <n v="0.22"/>
    <x v="1"/>
    <x v="0"/>
    <s v="North-David"/>
  </r>
  <r>
    <n v="1026"/>
    <d v="2023-10-24T00:00:00"/>
    <s v="David"/>
    <x v="3"/>
    <n v="2044.55"/>
    <x v="27"/>
    <s v="Food"/>
    <n v="1741.66"/>
    <n v="2169.86"/>
    <s v="Returning"/>
    <n v="0.14000000000000001"/>
    <x v="2"/>
    <x v="0"/>
    <s v="East-David"/>
  </r>
  <r>
    <n v="1047"/>
    <d v="2023-07-07T00:00:00"/>
    <s v="David"/>
    <x v="2"/>
    <n v="9519.2999999999993"/>
    <x v="13"/>
    <s v="Clothing"/>
    <n v="957.95"/>
    <n v="1329.26"/>
    <s v="New"/>
    <n v="0.21"/>
    <x v="0"/>
    <x v="0"/>
    <s v="South-David"/>
  </r>
  <r>
    <n v="1086"/>
    <d v="2023-12-28T00:00:00"/>
    <s v="Bob"/>
    <x v="1"/>
    <n v="1837.37"/>
    <x v="7"/>
    <s v="Furniture"/>
    <n v="83.86"/>
    <n v="526.14"/>
    <s v="Returning"/>
    <n v="0.11"/>
    <x v="2"/>
    <x v="0"/>
    <s v="West-Bob"/>
  </r>
  <r>
    <n v="1056"/>
    <d v="2023-01-14T00:00:00"/>
    <s v="Charlie"/>
    <x v="1"/>
    <n v="5720.5"/>
    <x v="44"/>
    <s v="Food"/>
    <n v="2361.7399999999998"/>
    <n v="2584.35"/>
    <s v="Returning"/>
    <n v="0.2"/>
    <x v="0"/>
    <x v="0"/>
    <s v="West-Charlie"/>
  </r>
  <r>
    <n v="1094"/>
    <d v="2023-01-12T00:00:00"/>
    <s v="Eve"/>
    <x v="1"/>
    <n v="5835.21"/>
    <x v="34"/>
    <s v="Food"/>
    <n v="3443.98"/>
    <n v="3820.3"/>
    <s v="Returning"/>
    <n v="0.01"/>
    <x v="2"/>
    <x v="1"/>
    <s v="West-Eve"/>
  </r>
  <r>
    <n v="1063"/>
    <d v="2023-03-28T00:00:00"/>
    <s v="Charlie"/>
    <x v="2"/>
    <n v="4947.28"/>
    <x v="31"/>
    <s v="Food"/>
    <n v="1170.07"/>
    <n v="1669.94999999999"/>
    <s v="Returning"/>
    <n v="0.12"/>
    <x v="1"/>
    <x v="1"/>
    <s v="South-Charlie"/>
  </r>
  <r>
    <n v="1048"/>
    <d v="2023-01-12T00:00:00"/>
    <s v="Charlie"/>
    <x v="3"/>
    <n v="6482.98"/>
    <x v="20"/>
    <s v="Clothing"/>
    <n v="702.44"/>
    <n v="1067.6600000000001"/>
    <s v="New"/>
    <n v="0.24"/>
    <x v="0"/>
    <x v="1"/>
    <s v="East-Charlie"/>
  </r>
  <r>
    <n v="1061"/>
    <d v="2023-01-25T00:00:00"/>
    <s v="Bob"/>
    <x v="3"/>
    <n v="2375.2800000000002"/>
    <x v="34"/>
    <s v="Furniture"/>
    <n v="4440.8599999999997"/>
    <n v="4506.8099999999904"/>
    <s v="Returning"/>
    <n v="0.24"/>
    <x v="1"/>
    <x v="0"/>
    <s v="East-Bob"/>
  </r>
  <r>
    <n v="1081"/>
    <d v="2023-10-28T00:00:00"/>
    <s v="Charlie"/>
    <x v="0"/>
    <n v="5571.36"/>
    <x v="18"/>
    <s v="Food"/>
    <n v="1411.37"/>
    <n v="1675.35"/>
    <s v="New"/>
    <n v="0.21"/>
    <x v="0"/>
    <x v="1"/>
    <s v="North-Charlie"/>
  </r>
  <r>
    <n v="1026"/>
    <d v="2023-08-31T00:00:00"/>
    <s v="Alice"/>
    <x v="3"/>
    <n v="3784.52"/>
    <x v="44"/>
    <s v="Electronics"/>
    <n v="1156.8800000000001"/>
    <n v="1454.68"/>
    <s v="Returning"/>
    <n v="0.06"/>
    <x v="2"/>
    <x v="0"/>
    <s v="East-Alice"/>
  </r>
  <r>
    <n v="1036"/>
    <d v="2023-05-02T00:00:00"/>
    <s v="David"/>
    <x v="0"/>
    <n v="6650.51"/>
    <x v="31"/>
    <s v="Furniture"/>
    <n v="4292.63"/>
    <n v="4387.99"/>
    <s v="New"/>
    <n v="7.0000000000000007E-2"/>
    <x v="2"/>
    <x v="1"/>
    <s v="North-David"/>
  </r>
  <r>
    <n v="1001"/>
    <d v="2023-05-27T00:00:00"/>
    <s v="Alice"/>
    <x v="2"/>
    <n v="1498.11"/>
    <x v="48"/>
    <s v="Electronics"/>
    <n v="4094.68"/>
    <n v="4576.5"/>
    <s v="New"/>
    <n v="0.3"/>
    <x v="0"/>
    <x v="1"/>
    <s v="South-Alice"/>
  </r>
  <r>
    <n v="1008"/>
    <d v="2023-02-24T00:00:00"/>
    <s v="Eve"/>
    <x v="1"/>
    <n v="5751.69"/>
    <x v="33"/>
    <s v="Electronics"/>
    <n v="2269.3200000000002"/>
    <n v="2365.35"/>
    <s v="New"/>
    <n v="0.03"/>
    <x v="0"/>
    <x v="1"/>
    <s v="West-Eve"/>
  </r>
  <r>
    <n v="1099"/>
    <d v="2023-08-26T00:00:00"/>
    <s v="David"/>
    <x v="1"/>
    <n v="1934.18"/>
    <x v="1"/>
    <s v="Food"/>
    <n v="2471.73"/>
    <n v="2568.73"/>
    <s v="New"/>
    <n v="0.05"/>
    <x v="0"/>
    <x v="1"/>
    <s v="West-David"/>
  </r>
  <r>
    <n v="1052"/>
    <d v="2023-12-22T00:00:00"/>
    <s v="Charlie"/>
    <x v="1"/>
    <n v="2858.57"/>
    <x v="0"/>
    <s v="Food"/>
    <n v="1127.8599999999999"/>
    <n v="1586.29"/>
    <s v="New"/>
    <n v="0.04"/>
    <x v="2"/>
    <x v="0"/>
    <s v="West-Charlie"/>
  </r>
  <r>
    <n v="1079"/>
    <d v="2023-06-22T00:00:00"/>
    <s v="Eve"/>
    <x v="3"/>
    <n v="2265.23"/>
    <x v="37"/>
    <s v="Clothing"/>
    <n v="437.59"/>
    <n v="675.54"/>
    <s v="Returning"/>
    <n v="0.1"/>
    <x v="0"/>
    <x v="0"/>
    <s v="East-Eve"/>
  </r>
  <r>
    <n v="1047"/>
    <d v="2023-08-09T00:00:00"/>
    <s v="David"/>
    <x v="0"/>
    <n v="1910.09"/>
    <x v="36"/>
    <s v="Clothing"/>
    <n v="2888.49"/>
    <n v="2929.45"/>
    <s v="New"/>
    <n v="0.06"/>
    <x v="0"/>
    <x v="1"/>
    <s v="North-David"/>
  </r>
  <r>
    <n v="1056"/>
    <d v="2023-04-29T00:00:00"/>
    <s v="Charlie"/>
    <x v="0"/>
    <n v="8274.5400000000009"/>
    <x v="15"/>
    <s v="Clothing"/>
    <n v="536.80999999999995"/>
    <n v="839.92"/>
    <s v="Returning"/>
    <n v="0.15"/>
    <x v="1"/>
    <x v="0"/>
    <s v="North-Charlie"/>
  </r>
  <r>
    <n v="1086"/>
    <d v="2023-11-05T00:00:00"/>
    <s v="Alice"/>
    <x v="2"/>
    <n v="2928.5"/>
    <x v="15"/>
    <s v="Furniture"/>
    <n v="2273.91"/>
    <n v="2578.7999999999902"/>
    <s v="New"/>
    <n v="0.14000000000000001"/>
    <x v="0"/>
    <x v="0"/>
    <s v="South-Alice"/>
  </r>
  <r>
    <n v="1014"/>
    <d v="2023-07-02T00:00:00"/>
    <s v="David"/>
    <x v="3"/>
    <n v="9278.5300000000007"/>
    <x v="48"/>
    <s v="Clothing"/>
    <n v="4705.46"/>
    <n v="4747.07"/>
    <s v="New"/>
    <n v="0.27"/>
    <x v="1"/>
    <x v="1"/>
    <s v="East-David"/>
  </r>
  <r>
    <n v="1090"/>
    <d v="2023-10-15T00:00:00"/>
    <s v="Charlie"/>
    <x v="2"/>
    <n v="9702.27"/>
    <x v="10"/>
    <s v="Electronics"/>
    <n v="4766.53"/>
    <n v="5253.07"/>
    <s v="Returning"/>
    <n v="0.01"/>
    <x v="1"/>
    <x v="0"/>
    <s v="South-Charlie"/>
  </r>
  <r>
    <n v="1028"/>
    <d v="2023-11-03T00:00:00"/>
    <s v="Alice"/>
    <x v="0"/>
    <n v="5755.48"/>
    <x v="34"/>
    <s v="Clothing"/>
    <n v="1234.69"/>
    <n v="1511.26"/>
    <s v="New"/>
    <n v="0.1"/>
    <x v="1"/>
    <x v="0"/>
    <s v="North-Alice"/>
  </r>
  <r>
    <n v="1087"/>
    <d v="2023-10-27T00:00:00"/>
    <s v="Eve"/>
    <x v="0"/>
    <n v="1515.71"/>
    <x v="30"/>
    <s v="Food"/>
    <n v="3139.36"/>
    <n v="3423.66"/>
    <s v="New"/>
    <n v="0.18"/>
    <x v="2"/>
    <x v="0"/>
    <s v="North-Eve"/>
  </r>
  <r>
    <n v="1078"/>
    <d v="2023-03-23T00:00:00"/>
    <s v="Eve"/>
    <x v="1"/>
    <n v="3808.03"/>
    <x v="19"/>
    <s v="Clothing"/>
    <n v="2396.6799999999998"/>
    <n v="2661.54"/>
    <s v="New"/>
    <n v="0.18"/>
    <x v="1"/>
    <x v="0"/>
    <s v="West-Eve"/>
  </r>
  <r>
    <n v="1088"/>
    <d v="2023-07-30T00:00:00"/>
    <s v="Eve"/>
    <x v="3"/>
    <n v="7997.55"/>
    <x v="21"/>
    <s v="Furniture"/>
    <n v="4384.6400000000003"/>
    <n v="4693.8999999999996"/>
    <s v="New"/>
    <n v="0.14000000000000001"/>
    <x v="0"/>
    <x v="1"/>
    <s v="East-Eve"/>
  </r>
  <r>
    <n v="1002"/>
    <d v="2023-05-30T00:00:00"/>
    <s v="Eve"/>
    <x v="0"/>
    <n v="3737.17"/>
    <x v="16"/>
    <s v="Furniture"/>
    <n v="1393.58"/>
    <n v="1533.09"/>
    <s v="Returning"/>
    <n v="0.24"/>
    <x v="2"/>
    <x v="1"/>
    <s v="North-Eve"/>
  </r>
  <r>
    <n v="1026"/>
    <d v="2023-02-06T00:00:00"/>
    <s v="Bob"/>
    <x v="1"/>
    <n v="961.47"/>
    <x v="24"/>
    <s v="Electronics"/>
    <n v="68.33"/>
    <n v="219.07999999999899"/>
    <s v="New"/>
    <n v="0.02"/>
    <x v="2"/>
    <x v="0"/>
    <s v="West-Bob"/>
  </r>
  <r>
    <n v="1014"/>
    <d v="2023-12-18T00:00:00"/>
    <s v="David"/>
    <x v="3"/>
    <n v="5612.17"/>
    <x v="41"/>
    <s v="Furniture"/>
    <n v="854.68"/>
    <n v="1115.24"/>
    <s v="New"/>
    <n v="0.24"/>
    <x v="2"/>
    <x v="1"/>
    <s v="East-David"/>
  </r>
  <r>
    <n v="1059"/>
    <d v="2023-11-08T00:00:00"/>
    <s v="David"/>
    <x v="2"/>
    <n v="8466.7000000000007"/>
    <x v="1"/>
    <s v="Clothing"/>
    <n v="1780.14"/>
    <n v="2185.42"/>
    <s v="Returning"/>
    <n v="0.15"/>
    <x v="2"/>
    <x v="1"/>
    <s v="South-David"/>
  </r>
  <r>
    <n v="1056"/>
    <d v="2023-12-27T00:00:00"/>
    <s v="Bob"/>
    <x v="3"/>
    <n v="7979.67"/>
    <x v="41"/>
    <s v="Food"/>
    <n v="1612.82"/>
    <n v="1647.25"/>
    <s v="Returning"/>
    <n v="0.04"/>
    <x v="2"/>
    <x v="1"/>
    <s v="East-Bob"/>
  </r>
  <r>
    <n v="1007"/>
    <d v="2023-02-28T00:00:00"/>
    <s v="Charlie"/>
    <x v="3"/>
    <n v="1833.72"/>
    <x v="8"/>
    <s v="Furniture"/>
    <n v="3967.25"/>
    <n v="4272.92"/>
    <s v="New"/>
    <n v="0.27"/>
    <x v="2"/>
    <x v="0"/>
    <s v="East-Charlie"/>
  </r>
  <r>
    <n v="1003"/>
    <d v="2023-05-11T00:00:00"/>
    <s v="Charlie"/>
    <x v="0"/>
    <n v="6760.37"/>
    <x v="42"/>
    <s v="Electronics"/>
    <n v="3418.78"/>
    <n v="3824.1"/>
    <s v="New"/>
    <n v="0.19"/>
    <x v="2"/>
    <x v="0"/>
    <s v="North-Charlie"/>
  </r>
  <r>
    <n v="1023"/>
    <d v="2023-07-21T00:00:00"/>
    <s v="Eve"/>
    <x v="0"/>
    <n v="2282.9899999999998"/>
    <x v="41"/>
    <s v="Clothing"/>
    <n v="1532.8"/>
    <n v="1619.69"/>
    <s v="Returning"/>
    <n v="0.05"/>
    <x v="1"/>
    <x v="1"/>
    <s v="North-Eve"/>
  </r>
  <r>
    <n v="1018"/>
    <d v="2023-08-31T00:00:00"/>
    <s v="Alice"/>
    <x v="3"/>
    <n v="2260.25"/>
    <x v="21"/>
    <s v="Electronics"/>
    <n v="2315.83"/>
    <n v="2333.19"/>
    <s v="New"/>
    <n v="0.01"/>
    <x v="0"/>
    <x v="1"/>
    <s v="East-Alice"/>
  </r>
  <r>
    <n v="1038"/>
    <d v="2023-02-04T00:00:00"/>
    <s v="Charlie"/>
    <x v="0"/>
    <n v="8753.31"/>
    <x v="48"/>
    <s v="Furniture"/>
    <n v="523.02"/>
    <n v="686.25"/>
    <s v="Returning"/>
    <n v="0.04"/>
    <x v="0"/>
    <x v="0"/>
    <s v="North-Charlie"/>
  </r>
  <r>
    <n v="1099"/>
    <d v="2023-04-03T00:00:00"/>
    <s v="Alice"/>
    <x v="0"/>
    <n v="2571.7199999999998"/>
    <x v="2"/>
    <s v="Furniture"/>
    <n v="4495.82"/>
    <n v="4794.0099999999902"/>
    <s v="New"/>
    <n v="0.18"/>
    <x v="1"/>
    <x v="1"/>
    <s v="North-Alice"/>
  </r>
  <r>
    <n v="1015"/>
    <d v="2023-07-26T00:00:00"/>
    <s v="David"/>
    <x v="0"/>
    <n v="2706.15"/>
    <x v="14"/>
    <s v="Electronics"/>
    <n v="4680.3500000000004"/>
    <n v="4758.1099999999997"/>
    <s v="Returning"/>
    <n v="0.05"/>
    <x v="1"/>
    <x v="0"/>
    <s v="North-David"/>
  </r>
  <r>
    <n v="1064"/>
    <d v="2023-12-19T00:00:00"/>
    <s v="Alice"/>
    <x v="1"/>
    <n v="106.47"/>
    <x v="22"/>
    <s v="Clothing"/>
    <n v="4900.03"/>
    <n v="5118.83"/>
    <s v="Returning"/>
    <n v="7.0000000000000007E-2"/>
    <x v="2"/>
    <x v="1"/>
    <s v="West-Alice"/>
  </r>
  <r>
    <n v="1089"/>
    <d v="2023-11-28T00:00:00"/>
    <s v="David"/>
    <x v="1"/>
    <n v="8719.6200000000008"/>
    <x v="29"/>
    <s v="Furniture"/>
    <n v="4349.34"/>
    <n v="4629.9799999999996"/>
    <s v="Returning"/>
    <n v="0.01"/>
    <x v="2"/>
    <x v="0"/>
    <s v="West-David"/>
  </r>
  <r>
    <n v="1028"/>
    <d v="2023-11-01T00:00:00"/>
    <s v="Bob"/>
    <x v="3"/>
    <n v="7946.69"/>
    <x v="38"/>
    <s v="Food"/>
    <n v="911.11"/>
    <n v="1214.56"/>
    <s v="New"/>
    <n v="0.22"/>
    <x v="1"/>
    <x v="0"/>
    <s v="East-Bob"/>
  </r>
  <r>
    <n v="1074"/>
    <d v="2023-12-16T00:00:00"/>
    <s v="Bob"/>
    <x v="0"/>
    <n v="6310.56"/>
    <x v="12"/>
    <s v="Furniture"/>
    <n v="278.67"/>
    <n v="423.13"/>
    <s v="New"/>
    <n v="0.24"/>
    <x v="2"/>
    <x v="0"/>
    <s v="North-Bob"/>
  </r>
  <r>
    <n v="1039"/>
    <d v="2023-08-01T00:00:00"/>
    <s v="Eve"/>
    <x v="1"/>
    <n v="7527.63"/>
    <x v="43"/>
    <s v="Clothing"/>
    <n v="2919"/>
    <n v="3125.01"/>
    <s v="New"/>
    <n v="0.24"/>
    <x v="0"/>
    <x v="0"/>
    <s v="West-Eve"/>
  </r>
  <r>
    <n v="1057"/>
    <d v="2023-06-08T00:00:00"/>
    <s v="Charlie"/>
    <x v="3"/>
    <n v="1605.28"/>
    <x v="8"/>
    <s v="Furniture"/>
    <n v="4567.3900000000003"/>
    <n v="4958.78"/>
    <s v="New"/>
    <n v="0.04"/>
    <x v="0"/>
    <x v="1"/>
    <s v="East-Charlie"/>
  </r>
  <r>
    <n v="1017"/>
    <d v="2023-01-24T00:00:00"/>
    <s v="Eve"/>
    <x v="0"/>
    <n v="4637.3999999999996"/>
    <x v="30"/>
    <s v="Electronics"/>
    <n v="927.89"/>
    <n v="1399.09"/>
    <s v="Returning"/>
    <n v="0.27"/>
    <x v="2"/>
    <x v="0"/>
    <s v="North-Eve"/>
  </r>
  <r>
    <n v="1086"/>
    <d v="2023-10-20T00:00:00"/>
    <s v="David"/>
    <x v="2"/>
    <n v="3577.07"/>
    <x v="5"/>
    <s v="Furniture"/>
    <n v="84.86"/>
    <n v="517.17999999999995"/>
    <s v="Returning"/>
    <n v="0.2"/>
    <x v="2"/>
    <x v="1"/>
    <s v="South-David"/>
  </r>
  <r>
    <n v="1090"/>
    <d v="2023-01-04T00:00:00"/>
    <s v="Eve"/>
    <x v="0"/>
    <n v="1028.3900000000001"/>
    <x v="28"/>
    <s v="Furniture"/>
    <n v="4037.21"/>
    <n v="4323.71"/>
    <s v="Returning"/>
    <n v="0.27"/>
    <x v="2"/>
    <x v="0"/>
    <s v="North-Eve"/>
  </r>
  <r>
    <n v="1044"/>
    <d v="2023-08-08T00:00:00"/>
    <s v="Alice"/>
    <x v="0"/>
    <n v="4912.6899999999996"/>
    <x v="0"/>
    <s v="Clothing"/>
    <n v="430.14"/>
    <n v="641.17999999999995"/>
    <s v="New"/>
    <n v="0.13"/>
    <x v="0"/>
    <x v="0"/>
    <s v="North-Alice"/>
  </r>
  <r>
    <n v="1025"/>
    <d v="2023-12-30T00:00:00"/>
    <s v="David"/>
    <x v="1"/>
    <n v="9215.32"/>
    <x v="40"/>
    <s v="Electronics"/>
    <n v="2097.84"/>
    <n v="2270.9899999999998"/>
    <s v="New"/>
    <n v="0.13"/>
    <x v="2"/>
    <x v="1"/>
    <s v="West-David"/>
  </r>
  <r>
    <n v="1017"/>
    <d v="2023-01-20T00:00:00"/>
    <s v="Bob"/>
    <x v="3"/>
    <n v="496.59"/>
    <x v="6"/>
    <s v="Clothing"/>
    <n v="3410.49"/>
    <n v="3481.72"/>
    <s v="New"/>
    <n v="0.24"/>
    <x v="1"/>
    <x v="1"/>
    <s v="East-Bob"/>
  </r>
  <r>
    <n v="1013"/>
    <d v="2023-06-01T00:00:00"/>
    <s v="Charlie"/>
    <x v="3"/>
    <n v="2985.46"/>
    <x v="25"/>
    <s v="Furniture"/>
    <n v="1222.1500000000001"/>
    <n v="1284.3599999999999"/>
    <s v="Returning"/>
    <n v="0.03"/>
    <x v="2"/>
    <x v="1"/>
    <s v="East-Charlie"/>
  </r>
  <r>
    <n v="1084"/>
    <d v="2023-02-19T00:00:00"/>
    <s v="David"/>
    <x v="1"/>
    <n v="2154.66"/>
    <x v="22"/>
    <s v="Food"/>
    <n v="465.61"/>
    <n v="812.91"/>
    <s v="New"/>
    <n v="0.16"/>
    <x v="1"/>
    <x v="0"/>
    <s v="West-David"/>
  </r>
  <r>
    <n v="1025"/>
    <d v="2023-06-26T00:00:00"/>
    <s v="David"/>
    <x v="0"/>
    <n v="2457.65"/>
    <x v="20"/>
    <s v="Furniture"/>
    <n v="3861.61"/>
    <n v="3998.91"/>
    <s v="New"/>
    <n v="0.25"/>
    <x v="2"/>
    <x v="0"/>
    <s v="North-David"/>
  </r>
  <r>
    <n v="1068"/>
    <d v="2023-04-06T00:00:00"/>
    <s v="Alice"/>
    <x v="2"/>
    <n v="9093.5"/>
    <x v="17"/>
    <s v="Clothing"/>
    <n v="3169.37"/>
    <n v="3304.15"/>
    <s v="Returning"/>
    <n v="0.25"/>
    <x v="2"/>
    <x v="1"/>
    <s v="South-Alice"/>
  </r>
  <r>
    <n v="1010"/>
    <d v="2023-04-15T00:00:00"/>
    <s v="Charlie"/>
    <x v="0"/>
    <n v="4733.88"/>
    <x v="41"/>
    <s v="Food"/>
    <n v="4943.03"/>
    <n v="5442.15"/>
    <s v="Returning"/>
    <n v="0.28999999999999998"/>
    <x v="0"/>
    <x v="0"/>
    <s v="North-Charlie"/>
  </r>
  <r>
    <n v="1067"/>
    <d v="2023-09-07T00:00:00"/>
    <s v="Bob"/>
    <x v="0"/>
    <n v="4716.3599999999997"/>
    <x v="35"/>
    <s v="Clothing"/>
    <n v="1754.32"/>
    <n v="1856.3999999999901"/>
    <s v="New"/>
    <n v="0.21"/>
    <x v="1"/>
    <x v="1"/>
    <s v="North-Bob"/>
  </r>
  <r>
    <n v="1018"/>
    <d v="2023-04-27T00:00:00"/>
    <s v="David"/>
    <x v="2"/>
    <n v="7629.7"/>
    <x v="1"/>
    <s v="Clothing"/>
    <n v="355.72"/>
    <n v="438.27"/>
    <s v="Returning"/>
    <n v="0.06"/>
    <x v="1"/>
    <x v="0"/>
    <s v="South-David"/>
  </r>
  <r>
    <n v="1100"/>
    <d v="2023-12-20T00:00:00"/>
    <s v="David"/>
    <x v="1"/>
    <n v="1629.47"/>
    <x v="3"/>
    <s v="Electronics"/>
    <n v="3685.03"/>
    <n v="3743.39"/>
    <s v="New"/>
    <n v="0.01"/>
    <x v="1"/>
    <x v="0"/>
    <s v="West-David"/>
  </r>
  <r>
    <n v="1086"/>
    <d v="2023-08-16T00:00:00"/>
    <s v="Alice"/>
    <x v="3"/>
    <n v="4923.93"/>
    <x v="10"/>
    <s v="Food"/>
    <n v="2632.58"/>
    <n v="2926.68"/>
    <s v="Returning"/>
    <n v="0.14000000000000001"/>
    <x v="0"/>
    <x v="0"/>
    <s v="East-Al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s v="Bob"/>
    <s v="North"/>
    <n v="5053.97"/>
    <n v="18"/>
    <s v="Furniture"/>
    <n v="152.75"/>
    <n v="267.22000000000003"/>
    <s v="Returning"/>
    <n v="0.09"/>
    <s v="Cash"/>
    <s v="Online"/>
    <s v="North-Bob"/>
  </r>
  <r>
    <n v="1093"/>
    <x v="1"/>
    <s v="Bob"/>
    <s v="West"/>
    <n v="4384.0200000000004"/>
    <n v="17"/>
    <s v="Furniture"/>
    <n v="3816.39"/>
    <n v="4209.4399999999996"/>
    <s v="Returning"/>
    <n v="0.11"/>
    <s v="Cash"/>
    <s v="Retail"/>
    <s v="West-Bob"/>
  </r>
  <r>
    <n v="1015"/>
    <x v="2"/>
    <s v="David"/>
    <s v="South"/>
    <n v="4631.2299999999996"/>
    <n v="30"/>
    <s v="Food"/>
    <n v="261.56"/>
    <n v="371.4"/>
    <s v="Returning"/>
    <n v="0.2"/>
    <s v="Bank Transfer"/>
    <s v="Retail"/>
    <s v="South-David"/>
  </r>
  <r>
    <n v="1072"/>
    <x v="3"/>
    <s v="Bob"/>
    <s v="South"/>
    <n v="2167.94"/>
    <n v="39"/>
    <s v="Clothing"/>
    <n v="4330.03"/>
    <n v="4467.75"/>
    <s v="New"/>
    <n v="0.02"/>
    <s v="Credit Card"/>
    <s v="Retail"/>
    <s v="South-Bob"/>
  </r>
  <r>
    <n v="1061"/>
    <x v="4"/>
    <s v="Charlie"/>
    <s v="East"/>
    <n v="3750.2"/>
    <n v="13"/>
    <s v="Electronics"/>
    <n v="637.37"/>
    <n v="692.71"/>
    <s v="New"/>
    <n v="0.08"/>
    <s v="Credit Card"/>
    <s v="Online"/>
    <s v="East-Charlie"/>
  </r>
  <r>
    <n v="1021"/>
    <x v="5"/>
    <s v="Charlie"/>
    <s v="West"/>
    <n v="3761.15"/>
    <n v="32"/>
    <s v="Food"/>
    <n v="900.79"/>
    <n v="1106.51"/>
    <s v="New"/>
    <n v="0.21"/>
    <s v="Cash"/>
    <s v="Online"/>
    <s v="West-Charlie"/>
  </r>
  <r>
    <n v="1083"/>
    <x v="6"/>
    <s v="Bob"/>
    <s v="West"/>
    <n v="618.30999999999995"/>
    <n v="29"/>
    <s v="Furniture"/>
    <n v="2408.81"/>
    <n v="2624.09"/>
    <s v="Returning"/>
    <n v="0.14000000000000001"/>
    <s v="Cash"/>
    <s v="Online"/>
    <s v="West-Bob"/>
  </r>
  <r>
    <n v="1087"/>
    <x v="7"/>
    <s v="Eve"/>
    <s v="South"/>
    <n v="7698.92"/>
    <n v="46"/>
    <s v="Furniture"/>
    <n v="3702.51"/>
    <n v="3964.65"/>
    <s v="New"/>
    <n v="0.12"/>
    <s v="Bank Transfer"/>
    <s v="Online"/>
    <s v="South-Eve"/>
  </r>
  <r>
    <n v="1075"/>
    <x v="8"/>
    <s v="David"/>
    <s v="South"/>
    <n v="4223.3900000000003"/>
    <n v="30"/>
    <s v="Furniture"/>
    <n v="738.06"/>
    <n v="1095.44999999999"/>
    <s v="New"/>
    <n v="0.05"/>
    <s v="Bank Transfer"/>
    <s v="Online"/>
    <s v="South-David"/>
  </r>
  <r>
    <n v="1075"/>
    <x v="9"/>
    <s v="Charlie"/>
    <s v="West"/>
    <n v="8239.58"/>
    <n v="18"/>
    <s v="Clothing"/>
    <n v="2228.35"/>
    <n v="2682.34"/>
    <s v="New"/>
    <n v="0.13"/>
    <s v="Bank Transfer"/>
    <s v="Online"/>
    <s v="West-Charlie"/>
  </r>
  <r>
    <n v="1088"/>
    <x v="10"/>
    <s v="Eve"/>
    <s v="North"/>
    <n v="8518.4500000000007"/>
    <n v="13"/>
    <s v="Furniture"/>
    <n v="2440.11"/>
    <n v="2517.6"/>
    <s v="New"/>
    <n v="0.23"/>
    <s v="Bank Transfer"/>
    <s v="Retail"/>
    <s v="North-Eve"/>
  </r>
  <r>
    <n v="1100"/>
    <x v="11"/>
    <s v="Bob"/>
    <s v="West"/>
    <n v="2198.7399999999998"/>
    <n v="43"/>
    <s v="Food"/>
    <n v="1100.81"/>
    <n v="1137.44"/>
    <s v="Returning"/>
    <n v="0.08"/>
    <s v="Bank Transfer"/>
    <s v="Online"/>
    <s v="West-Bob"/>
  </r>
  <r>
    <n v="1024"/>
    <x v="12"/>
    <s v="Eve"/>
    <s v="West"/>
    <n v="6607.8"/>
    <n v="21"/>
    <s v="Food"/>
    <n v="622.01"/>
    <n v="641.09"/>
    <s v="Returning"/>
    <n v="0"/>
    <s v="Bank Transfer"/>
    <s v="Retail"/>
    <s v="West-Eve"/>
  </r>
  <r>
    <n v="1003"/>
    <x v="13"/>
    <s v="Alice"/>
    <s v="South"/>
    <n v="4775.59"/>
    <n v="30"/>
    <s v="Furniture"/>
    <n v="4190.28"/>
    <n v="4270.6499999999996"/>
    <s v="New"/>
    <n v="0.2"/>
    <s v="Cash"/>
    <s v="Online"/>
    <s v="South-Alice"/>
  </r>
  <r>
    <n v="1022"/>
    <x v="14"/>
    <s v="Charlie"/>
    <s v="South"/>
    <n v="8813.5499999999993"/>
    <n v="21"/>
    <s v="Food"/>
    <n v="2537.1999999999998"/>
    <n v="2869.6"/>
    <s v="New"/>
    <n v="0.28999999999999998"/>
    <s v="Bank Transfer"/>
    <s v="Retail"/>
    <s v="South-Charlie"/>
  </r>
  <r>
    <n v="1053"/>
    <x v="15"/>
    <s v="Bob"/>
    <s v="North"/>
    <n v="2235.83"/>
    <n v="48"/>
    <s v="Furniture"/>
    <n v="121.19"/>
    <n v="487.65"/>
    <s v="New"/>
    <n v="0.18"/>
    <s v="Cash"/>
    <s v="Retail"/>
    <s v="North-Bob"/>
  </r>
  <r>
    <n v="1002"/>
    <x v="16"/>
    <s v="David"/>
    <s v="North"/>
    <n v="6810.35"/>
    <n v="17"/>
    <s v="Furniture"/>
    <n v="4024.76"/>
    <n v="4420.1499999999996"/>
    <s v="Returning"/>
    <n v="0.04"/>
    <s v="Cash"/>
    <s v="Online"/>
    <s v="North-David"/>
  </r>
  <r>
    <n v="1088"/>
    <x v="17"/>
    <s v="Bob"/>
    <s v="East"/>
    <n v="6116.75"/>
    <n v="40"/>
    <s v="Electronics"/>
    <n v="4904.93"/>
    <n v="5034.3500000000004"/>
    <s v="New"/>
    <n v="0.1"/>
    <s v="Credit Card"/>
    <s v="Retail"/>
    <s v="East-Bob"/>
  </r>
  <r>
    <n v="1030"/>
    <x v="18"/>
    <s v="David"/>
    <s v="West"/>
    <n v="3023.48"/>
    <n v="19"/>
    <s v="Clothing"/>
    <n v="3049.33"/>
    <n v="3209.22"/>
    <s v="Returning"/>
    <n v="0.26"/>
    <s v="Cash"/>
    <s v="Online"/>
    <s v="West-David"/>
  </r>
  <r>
    <n v="1038"/>
    <x v="19"/>
    <s v="Bob"/>
    <s v="South"/>
    <n v="1452.35"/>
    <n v="15"/>
    <s v="Clothing"/>
    <n v="2543.36"/>
    <n v="2790.1"/>
    <s v="Returning"/>
    <n v="7.0000000000000007E-2"/>
    <s v="Cash"/>
    <s v="Online"/>
    <s v="South-Bob"/>
  </r>
  <r>
    <n v="1002"/>
    <x v="20"/>
    <s v="Eve"/>
    <s v="North"/>
    <n v="6551.23"/>
    <n v="9"/>
    <s v="Electronics"/>
    <n v="4398.16"/>
    <n v="4439.12"/>
    <s v="New"/>
    <n v="0.18"/>
    <s v="Bank Transfer"/>
    <s v="Online"/>
    <s v="North-Eve"/>
  </r>
  <r>
    <n v="1064"/>
    <x v="21"/>
    <s v="Eve"/>
    <s v="East"/>
    <n v="7412.11"/>
    <n v="10"/>
    <s v="Electronics"/>
    <n v="4764.96"/>
    <n v="5074.42"/>
    <s v="New"/>
    <n v="0.12"/>
    <s v="Cash"/>
    <s v="Online"/>
    <s v="East-Eve"/>
  </r>
  <r>
    <n v="1060"/>
    <x v="22"/>
    <s v="Eve"/>
    <s v="East"/>
    <n v="3224.71"/>
    <n v="44"/>
    <s v="Clothing"/>
    <n v="3784.96"/>
    <n v="4276.99"/>
    <s v="New"/>
    <n v="0.06"/>
    <s v="Bank Transfer"/>
    <s v="Retail"/>
    <s v="East-Eve"/>
  </r>
  <r>
    <n v="1021"/>
    <x v="23"/>
    <s v="Alice"/>
    <s v="South"/>
    <n v="6483.84"/>
    <n v="31"/>
    <s v="Furniture"/>
    <n v="2254.9899999999998"/>
    <n v="2441.79"/>
    <s v="Returning"/>
    <n v="0.24"/>
    <s v="Bank Transfer"/>
    <s v="Online"/>
    <s v="South-Alice"/>
  </r>
  <r>
    <n v="1033"/>
    <x v="24"/>
    <s v="David"/>
    <s v="South"/>
    <n v="4011.8"/>
    <n v="23"/>
    <s v="Furniture"/>
    <n v="2981.5"/>
    <n v="3360.4"/>
    <s v="Returning"/>
    <n v="0.22"/>
    <s v="Bank Transfer"/>
    <s v="Retail"/>
    <s v="South-David"/>
  </r>
  <r>
    <n v="1076"/>
    <x v="22"/>
    <s v="Eve"/>
    <s v="East"/>
    <n v="7160.75"/>
    <n v="30"/>
    <s v="Clothing"/>
    <n v="3519.63"/>
    <n v="3774.65"/>
    <s v="New"/>
    <n v="0.2"/>
    <s v="Credit Card"/>
    <s v="Retail"/>
    <s v="East-Eve"/>
  </r>
  <r>
    <n v="1058"/>
    <x v="25"/>
    <s v="Alice"/>
    <s v="North"/>
    <n v="2072.23"/>
    <n v="33"/>
    <s v="Furniture"/>
    <n v="1011.65"/>
    <n v="1084.28"/>
    <s v="Returning"/>
    <n v="7.0000000000000007E-2"/>
    <s v="Bank Transfer"/>
    <s v="Retail"/>
    <s v="North-Alice"/>
  </r>
  <r>
    <n v="1022"/>
    <x v="26"/>
    <s v="David"/>
    <s v="East"/>
    <n v="8913.1299999999992"/>
    <n v="9"/>
    <s v="Electronics"/>
    <n v="2263.65"/>
    <n v="2558.9499999999998"/>
    <s v="New"/>
    <n v="0.03"/>
    <s v="Cash"/>
    <s v="Online"/>
    <s v="East-David"/>
  </r>
  <r>
    <n v="1089"/>
    <x v="27"/>
    <s v="Bob"/>
    <s v="West"/>
    <n v="2945.36"/>
    <n v="47"/>
    <s v="Furniture"/>
    <n v="4157.62"/>
    <n v="4314.5599999999904"/>
    <s v="New"/>
    <n v="0.17"/>
    <s v="Bank Transfer"/>
    <s v="Retail"/>
    <s v="West-Bob"/>
  </r>
  <r>
    <n v="1049"/>
    <x v="28"/>
    <s v="Alice"/>
    <s v="West"/>
    <n v="3741.08"/>
    <n v="1"/>
    <s v="Furniture"/>
    <n v="3290.89"/>
    <n v="3317.75"/>
    <s v="Returning"/>
    <n v="0.17"/>
    <s v="Bank Transfer"/>
    <s v="Online"/>
    <s v="West-Alice"/>
  </r>
  <r>
    <n v="1091"/>
    <x v="29"/>
    <s v="Charlie"/>
    <s v="South"/>
    <n v="675.11"/>
    <n v="44"/>
    <s v="Food"/>
    <n v="2085.46"/>
    <n v="2406.58"/>
    <s v="Returning"/>
    <n v="0.06"/>
    <s v="Bank Transfer"/>
    <s v="Retail"/>
    <s v="South-Charlie"/>
  </r>
  <r>
    <n v="1059"/>
    <x v="30"/>
    <s v="Alice"/>
    <s v="North"/>
    <n v="1203.97"/>
    <n v="35"/>
    <s v="Food"/>
    <n v="3333.64"/>
    <n v="3764.52"/>
    <s v="Returning"/>
    <n v="0.02"/>
    <s v="Credit Card"/>
    <s v="Online"/>
    <s v="North-Alice"/>
  </r>
  <r>
    <n v="1042"/>
    <x v="31"/>
    <s v="Alice"/>
    <s v="North"/>
    <n v="5207.03"/>
    <n v="11"/>
    <s v="Food"/>
    <n v="635.20000000000005"/>
    <n v="814.14"/>
    <s v="Returning"/>
    <n v="0.02"/>
    <s v="Cash"/>
    <s v="Online"/>
    <s v="North-Alice"/>
  </r>
  <r>
    <n v="1092"/>
    <x v="32"/>
    <s v="David"/>
    <s v="West"/>
    <n v="2749.17"/>
    <n v="34"/>
    <s v="Furniture"/>
    <n v="2037.41"/>
    <n v="2238.65"/>
    <s v="New"/>
    <n v="0.3"/>
    <s v="Credit Card"/>
    <s v="Online"/>
    <s v="West-David"/>
  </r>
  <r>
    <n v="1060"/>
    <x v="14"/>
    <s v="Bob"/>
    <s v="East"/>
    <n v="8371.25"/>
    <n v="16"/>
    <s v="Clothing"/>
    <n v="3975.99"/>
    <n v="4422.59"/>
    <s v="New"/>
    <n v="0.24"/>
    <s v="Cash"/>
    <s v="Online"/>
    <s v="East-Bob"/>
  </r>
  <r>
    <n v="1080"/>
    <x v="33"/>
    <s v="Charlie"/>
    <s v="South"/>
    <n v="245.46"/>
    <n v="9"/>
    <s v="Electronics"/>
    <n v="1141.52"/>
    <n v="1550.19"/>
    <s v="New"/>
    <n v="0.28000000000000003"/>
    <s v="Credit Card"/>
    <s v="Retail"/>
    <s v="South-Charlie"/>
  </r>
  <r>
    <n v="1015"/>
    <x v="34"/>
    <s v="Eve"/>
    <s v="East"/>
    <n v="3853.03"/>
    <n v="32"/>
    <s v="Furniture"/>
    <n v="970.51"/>
    <n v="1330.84"/>
    <s v="Returning"/>
    <n v="0.06"/>
    <s v="Cash"/>
    <s v="Retail"/>
    <s v="East-Eve"/>
  </r>
  <r>
    <n v="1062"/>
    <x v="7"/>
    <s v="Eve"/>
    <s v="East"/>
    <n v="3439.72"/>
    <n v="15"/>
    <s v="Clothing"/>
    <n v="4756.55"/>
    <n v="4888.46"/>
    <s v="New"/>
    <n v="0.28999999999999998"/>
    <s v="Credit Card"/>
    <s v="Online"/>
    <s v="East-Eve"/>
  </r>
  <r>
    <n v="1062"/>
    <x v="35"/>
    <s v="Alice"/>
    <s v="East"/>
    <n v="291.33999999999997"/>
    <n v="12"/>
    <s v="Furniture"/>
    <n v="1088.99"/>
    <n v="1545"/>
    <s v="Returning"/>
    <n v="0.04"/>
    <s v="Bank Transfer"/>
    <s v="Retail"/>
    <s v="East-Alice"/>
  </r>
  <r>
    <n v="1047"/>
    <x v="36"/>
    <s v="David"/>
    <s v="North"/>
    <n v="1331.25"/>
    <n v="33"/>
    <s v="Electronics"/>
    <n v="1341.55"/>
    <n v="1427.21"/>
    <s v="Returning"/>
    <n v="0.15"/>
    <s v="Credit Card"/>
    <s v="Online"/>
    <s v="North-David"/>
  </r>
  <r>
    <n v="1062"/>
    <x v="37"/>
    <s v="David"/>
    <s v="West"/>
    <n v="4195.0600000000004"/>
    <n v="45"/>
    <s v="Furniture"/>
    <n v="4849.6000000000004"/>
    <n v="5166.72"/>
    <s v="Returning"/>
    <n v="0.25"/>
    <s v="Credit Card"/>
    <s v="Online"/>
    <s v="West-David"/>
  </r>
  <r>
    <n v="1051"/>
    <x v="21"/>
    <s v="Eve"/>
    <s v="North"/>
    <n v="4979.3599999999997"/>
    <n v="14"/>
    <s v="Electronics"/>
    <n v="3686.81"/>
    <n v="3710.92"/>
    <s v="New"/>
    <n v="0.1"/>
    <s v="Bank Transfer"/>
    <s v="Retail"/>
    <s v="North-Eve"/>
  </r>
  <r>
    <n v="1055"/>
    <x v="38"/>
    <s v="Charlie"/>
    <s v="West"/>
    <n v="4102.47"/>
    <n v="8"/>
    <s v="Furniture"/>
    <n v="3513"/>
    <n v="3838.42"/>
    <s v="Returning"/>
    <n v="0.13"/>
    <s v="Bank Transfer"/>
    <s v="Online"/>
    <s v="West-Charlie"/>
  </r>
  <r>
    <n v="1064"/>
    <x v="39"/>
    <s v="Bob"/>
    <s v="South"/>
    <n v="5356.28"/>
    <n v="8"/>
    <s v="Electronics"/>
    <n v="4271.99"/>
    <n v="4417.79"/>
    <s v="Returning"/>
    <n v="0.04"/>
    <s v="Cash"/>
    <s v="Online"/>
    <s v="South-Bob"/>
  </r>
  <r>
    <n v="1003"/>
    <x v="40"/>
    <s v="Charlie"/>
    <s v="South"/>
    <n v="5991.8"/>
    <n v="27"/>
    <s v="Furniture"/>
    <n v="623.32000000000005"/>
    <n v="853.66"/>
    <s v="Returning"/>
    <n v="0.04"/>
    <s v="Cash"/>
    <s v="Online"/>
    <s v="South-Charlie"/>
  </r>
  <r>
    <n v="1051"/>
    <x v="41"/>
    <s v="Bob"/>
    <s v="East"/>
    <n v="198.25"/>
    <n v="12"/>
    <s v="Electronics"/>
    <n v="3544.48"/>
    <n v="3723.66"/>
    <s v="Returning"/>
    <n v="0.19"/>
    <s v="Cash"/>
    <s v="Online"/>
    <s v="East-Bob"/>
  </r>
  <r>
    <n v="1007"/>
    <x v="42"/>
    <s v="Eve"/>
    <s v="West"/>
    <n v="4694.54"/>
    <n v="1"/>
    <s v="Food"/>
    <n v="2543.2600000000002"/>
    <n v="2637.91"/>
    <s v="Returning"/>
    <n v="0.2"/>
    <s v="Credit Card"/>
    <s v="Online"/>
    <s v="West-Eve"/>
  </r>
  <r>
    <n v="1021"/>
    <x v="43"/>
    <s v="Bob"/>
    <s v="West"/>
    <n v="9638.64"/>
    <n v="43"/>
    <s v="Furniture"/>
    <n v="4154.3"/>
    <n v="4469.07"/>
    <s v="Returning"/>
    <n v="0.23"/>
    <s v="Cash"/>
    <s v="Retail"/>
    <s v="West-Bob"/>
  </r>
  <r>
    <n v="1073"/>
    <x v="38"/>
    <s v="David"/>
    <s v="West"/>
    <n v="5238.42"/>
    <n v="40"/>
    <s v="Furniture"/>
    <n v="2565.3000000000002"/>
    <n v="3007.47"/>
    <s v="Returning"/>
    <n v="0.17"/>
    <s v="Credit Card"/>
    <s v="Retail"/>
    <s v="West-David"/>
  </r>
  <r>
    <n v="1039"/>
    <x v="44"/>
    <s v="Alice"/>
    <s v="East"/>
    <n v="6807.67"/>
    <n v="42"/>
    <s v="Clothing"/>
    <n v="3120.19"/>
    <n v="3600.14"/>
    <s v="Returning"/>
    <n v="0.19"/>
    <s v="Credit Card"/>
    <s v="Retail"/>
    <s v="East-Alice"/>
  </r>
  <r>
    <n v="1018"/>
    <x v="45"/>
    <s v="Alice"/>
    <s v="East"/>
    <n v="3187.45"/>
    <n v="11"/>
    <s v="Clothing"/>
    <n v="2414.8200000000002"/>
    <n v="2519.0700000000002"/>
    <s v="Returning"/>
    <n v="0"/>
    <s v="Cash"/>
    <s v="Online"/>
    <s v="East-Alice"/>
  </r>
  <r>
    <n v="1004"/>
    <x v="46"/>
    <s v="Eve"/>
    <s v="South"/>
    <n v="7762.51"/>
    <n v="39"/>
    <s v="Electronics"/>
    <n v="2416.89"/>
    <n v="2778.3999999999901"/>
    <s v="Returning"/>
    <n v="0.05"/>
    <s v="Cash"/>
    <s v="Online"/>
    <s v="South-Eve"/>
  </r>
  <r>
    <n v="1089"/>
    <x v="47"/>
    <s v="David"/>
    <s v="North"/>
    <n v="7751.92"/>
    <n v="43"/>
    <s v="Furniture"/>
    <n v="3851.45"/>
    <n v="4186.9799999999996"/>
    <s v="Returning"/>
    <n v="0.3"/>
    <s v="Credit Card"/>
    <s v="Online"/>
    <s v="North-David"/>
  </r>
  <r>
    <n v="1060"/>
    <x v="48"/>
    <s v="Charlie"/>
    <s v="West"/>
    <n v="5260.83"/>
    <n v="31"/>
    <s v="Electronics"/>
    <n v="3161.4"/>
    <n v="3339.66"/>
    <s v="Returning"/>
    <n v="0.02"/>
    <s v="Bank Transfer"/>
    <s v="Online"/>
    <s v="West-Charlie"/>
  </r>
  <r>
    <n v="1014"/>
    <x v="49"/>
    <s v="David"/>
    <s v="West"/>
    <n v="9762.5400000000009"/>
    <n v="17"/>
    <s v="Food"/>
    <n v="3184.65"/>
    <n v="3204.01"/>
    <s v="New"/>
    <n v="0.2"/>
    <s v="Bank Transfer"/>
    <s v="Online"/>
    <s v="West-David"/>
  </r>
  <r>
    <n v="1009"/>
    <x v="40"/>
    <s v="Alice"/>
    <s v="North"/>
    <n v="1342.95"/>
    <n v="33"/>
    <s v="Clothing"/>
    <n v="2278.9"/>
    <n v="2626.9"/>
    <s v="New"/>
    <n v="0.05"/>
    <s v="Credit Card"/>
    <s v="Online"/>
    <s v="North-Alice"/>
  </r>
  <r>
    <n v="1090"/>
    <x v="50"/>
    <s v="Alice"/>
    <s v="West"/>
    <n v="267.77999999999997"/>
    <n v="32"/>
    <s v="Electronics"/>
    <n v="2678.99"/>
    <n v="3152.2799999999902"/>
    <s v="Returning"/>
    <n v="0.22"/>
    <s v="Cash"/>
    <s v="Retail"/>
    <s v="West-Alice"/>
  </r>
  <r>
    <n v="1053"/>
    <x v="51"/>
    <s v="David"/>
    <s v="East"/>
    <n v="7724.57"/>
    <n v="29"/>
    <s v="Electronics"/>
    <n v="3741.3"/>
    <n v="4061.04"/>
    <s v="Returning"/>
    <n v="0.21"/>
    <s v="Credit Card"/>
    <s v="Online"/>
    <s v="East-David"/>
  </r>
  <r>
    <n v="1002"/>
    <x v="52"/>
    <s v="David"/>
    <s v="East"/>
    <n v="8090.84"/>
    <n v="21"/>
    <s v="Clothing"/>
    <n v="4138.41"/>
    <n v="4361.7"/>
    <s v="Returning"/>
    <n v="7.0000000000000007E-2"/>
    <s v="Credit Card"/>
    <s v="Retail"/>
    <s v="East-David"/>
  </r>
  <r>
    <n v="1084"/>
    <x v="53"/>
    <s v="Alice"/>
    <s v="West"/>
    <n v="1290.05"/>
    <n v="21"/>
    <s v="Furniture"/>
    <n v="3497.98"/>
    <n v="3765.31"/>
    <s v="New"/>
    <n v="0.08"/>
    <s v="Cash"/>
    <s v="Online"/>
    <s v="West-Alice"/>
  </r>
  <r>
    <n v="1092"/>
    <x v="54"/>
    <s v="Charlie"/>
    <s v="East"/>
    <n v="2729.27"/>
    <n v="40"/>
    <s v="Electronics"/>
    <n v="4624.16"/>
    <n v="4731.9799999999996"/>
    <s v="New"/>
    <n v="0.2"/>
    <s v="Bank Transfer"/>
    <s v="Retail"/>
    <s v="East-Charlie"/>
  </r>
  <r>
    <n v="1060"/>
    <x v="55"/>
    <s v="Eve"/>
    <s v="East"/>
    <n v="273.77"/>
    <n v="23"/>
    <s v="Clothing"/>
    <n v="4110.6000000000004"/>
    <n v="4488.37"/>
    <s v="New"/>
    <n v="0.12"/>
    <s v="Credit Card"/>
    <s v="Online"/>
    <s v="East-Eve"/>
  </r>
  <r>
    <n v="1071"/>
    <x v="56"/>
    <s v="Eve"/>
    <s v="West"/>
    <n v="3003.76"/>
    <n v="6"/>
    <s v="Furniture"/>
    <n v="2831.23"/>
    <n v="3206.98"/>
    <s v="Returning"/>
    <n v="0.06"/>
    <s v="Bank Transfer"/>
    <s v="Retail"/>
    <s v="West-Eve"/>
  </r>
  <r>
    <n v="1044"/>
    <x v="57"/>
    <s v="David"/>
    <s v="South"/>
    <n v="7754.1"/>
    <n v="22"/>
    <s v="Food"/>
    <n v="3373.46"/>
    <n v="3454.76"/>
    <s v="Returning"/>
    <n v="0.22"/>
    <s v="Bank Transfer"/>
    <s v="Retail"/>
    <s v="South-David"/>
  </r>
  <r>
    <n v="1008"/>
    <x v="58"/>
    <s v="Eve"/>
    <s v="North"/>
    <n v="5227.8100000000004"/>
    <n v="38"/>
    <s v="Clothing"/>
    <n v="4635.2299999999996"/>
    <n v="5075.4399999999996"/>
    <s v="Returning"/>
    <n v="0.05"/>
    <s v="Cash"/>
    <s v="Online"/>
    <s v="North-Eve"/>
  </r>
  <r>
    <n v="1047"/>
    <x v="59"/>
    <s v="Alice"/>
    <s v="East"/>
    <n v="3546.15"/>
    <n v="37"/>
    <s v="Electronics"/>
    <n v="3114.88"/>
    <n v="3256.78"/>
    <s v="Returning"/>
    <n v="0.26"/>
    <s v="Credit Card"/>
    <s v="Online"/>
    <s v="East-Alice"/>
  </r>
  <r>
    <n v="1035"/>
    <x v="60"/>
    <s v="Alice"/>
    <s v="South"/>
    <n v="3780.22"/>
    <n v="45"/>
    <s v="Food"/>
    <n v="4132.79"/>
    <n v="4624.1000000000004"/>
    <s v="New"/>
    <n v="0.15"/>
    <s v="Credit Card"/>
    <s v="Retail"/>
    <s v="South-Alice"/>
  </r>
  <r>
    <n v="1078"/>
    <x v="10"/>
    <s v="David"/>
    <s v="East"/>
    <n v="113.4"/>
    <n v="8"/>
    <s v="Furniture"/>
    <n v="3459.61"/>
    <n v="3657.23"/>
    <s v="Returning"/>
    <n v="0.03"/>
    <s v="Bank Transfer"/>
    <s v="Online"/>
    <s v="East-David"/>
  </r>
  <r>
    <n v="1081"/>
    <x v="61"/>
    <s v="David"/>
    <s v="East"/>
    <n v="3068.03"/>
    <n v="41"/>
    <s v="Furniture"/>
    <n v="2782.08"/>
    <n v="2879.24"/>
    <s v="New"/>
    <n v="0.21"/>
    <s v="Bank Transfer"/>
    <s v="Online"/>
    <s v="East-David"/>
  </r>
  <r>
    <n v="1036"/>
    <x v="62"/>
    <s v="David"/>
    <s v="North"/>
    <n v="6499.94"/>
    <n v="49"/>
    <s v="Clothing"/>
    <n v="1247.0999999999999"/>
    <n v="1429.4399999999901"/>
    <s v="New"/>
    <n v="0.16"/>
    <s v="Cash"/>
    <s v="Online"/>
    <s v="North-David"/>
  </r>
  <r>
    <n v="1050"/>
    <x v="63"/>
    <s v="Charlie"/>
    <s v="East"/>
    <n v="9744.52"/>
    <n v="35"/>
    <s v="Clothing"/>
    <n v="2158.69"/>
    <n v="2384.38"/>
    <s v="Returning"/>
    <n v="0.09"/>
    <s v="Bank Transfer"/>
    <s v="Retail"/>
    <s v="East-Charlie"/>
  </r>
  <r>
    <n v="1004"/>
    <x v="64"/>
    <s v="Eve"/>
    <s v="North"/>
    <n v="8485.9"/>
    <n v="11"/>
    <s v="Clothing"/>
    <n v="4840.33"/>
    <n v="4884.29"/>
    <s v="New"/>
    <n v="0.13"/>
    <s v="Cash"/>
    <s v="Online"/>
    <s v="North-Eve"/>
  </r>
  <r>
    <n v="1002"/>
    <x v="65"/>
    <s v="David"/>
    <s v="North"/>
    <n v="333.59"/>
    <n v="24"/>
    <s v="Furniture"/>
    <n v="3305.94"/>
    <n v="3599.27"/>
    <s v="New"/>
    <n v="0.09"/>
    <s v="Credit Card"/>
    <s v="Retail"/>
    <s v="North-David"/>
  </r>
  <r>
    <n v="1006"/>
    <x v="66"/>
    <s v="Bob"/>
    <s v="North"/>
    <n v="8995.75"/>
    <n v="49"/>
    <s v="Food"/>
    <n v="2843.76"/>
    <n v="3146.6"/>
    <s v="New"/>
    <n v="0.08"/>
    <s v="Cash"/>
    <s v="Retail"/>
    <s v="North-Bob"/>
  </r>
  <r>
    <n v="1054"/>
    <x v="67"/>
    <s v="Bob"/>
    <s v="South"/>
    <n v="7853.66"/>
    <n v="21"/>
    <s v="Furniture"/>
    <n v="4668.1400000000003"/>
    <n v="5040.22"/>
    <s v="New"/>
    <n v="0.05"/>
    <s v="Bank Transfer"/>
    <s v="Online"/>
    <s v="South-Bob"/>
  </r>
  <r>
    <n v="1004"/>
    <x v="68"/>
    <s v="Alice"/>
    <s v="West"/>
    <n v="7825.72"/>
    <n v="2"/>
    <s v="Electronics"/>
    <n v="2953.23"/>
    <n v="2977.52"/>
    <s v="Returning"/>
    <n v="0.11"/>
    <s v="Credit Card"/>
    <s v="Retail"/>
    <s v="West-Alice"/>
  </r>
  <r>
    <n v="1054"/>
    <x v="69"/>
    <s v="Eve"/>
    <s v="South"/>
    <n v="4634.16"/>
    <n v="40"/>
    <s v="Furniture"/>
    <n v="2654.11"/>
    <n v="2929.32"/>
    <s v="Returning"/>
    <n v="0.08"/>
    <s v="Cash"/>
    <s v="Online"/>
    <s v="South-Eve"/>
  </r>
  <r>
    <n v="1093"/>
    <x v="70"/>
    <s v="David"/>
    <s v="West"/>
    <n v="4040.25"/>
    <n v="19"/>
    <s v="Electronics"/>
    <n v="3808.59"/>
    <n v="3844.51"/>
    <s v="New"/>
    <n v="0.21"/>
    <s v="Credit Card"/>
    <s v="Online"/>
    <s v="West-David"/>
  </r>
  <r>
    <n v="1063"/>
    <x v="71"/>
    <s v="Bob"/>
    <s v="West"/>
    <n v="3098.87"/>
    <n v="39"/>
    <s v="Food"/>
    <n v="3577.69"/>
    <n v="3931.25"/>
    <s v="Returning"/>
    <n v="0.21"/>
    <s v="Cash"/>
    <s v="Retail"/>
    <s v="West-Bob"/>
  </r>
  <r>
    <n v="1018"/>
    <x v="72"/>
    <s v="Eve"/>
    <s v="North"/>
    <n v="750.38"/>
    <n v="28"/>
    <s v="Clothing"/>
    <n v="1006.14"/>
    <n v="1043.45"/>
    <s v="New"/>
    <n v="0.15"/>
    <s v="Bank Transfer"/>
    <s v="Retail"/>
    <s v="North-Eve"/>
  </r>
  <r>
    <n v="1090"/>
    <x v="73"/>
    <s v="Alice"/>
    <s v="East"/>
    <n v="2359.5300000000002"/>
    <n v="17"/>
    <s v="Clothing"/>
    <n v="2382.98"/>
    <n v="2839.73"/>
    <s v="Returning"/>
    <n v="0.23"/>
    <s v="Bank Transfer"/>
    <s v="Retail"/>
    <s v="East-Alice"/>
  </r>
  <r>
    <n v="1044"/>
    <x v="74"/>
    <s v="Charlie"/>
    <s v="North"/>
    <n v="2541.38"/>
    <n v="6"/>
    <s v="Furniture"/>
    <n v="2388.9499999999998"/>
    <n v="2742.97"/>
    <s v="Returning"/>
    <n v="0.25"/>
    <s v="Credit Card"/>
    <s v="Retail"/>
    <s v="North-Charlie"/>
  </r>
  <r>
    <n v="1034"/>
    <x v="75"/>
    <s v="Eve"/>
    <s v="East"/>
    <n v="4892.3599999999997"/>
    <n v="19"/>
    <s v="Clothing"/>
    <n v="1922.21"/>
    <n v="2180.83"/>
    <s v="Returning"/>
    <n v="0.17"/>
    <s v="Credit Card"/>
    <s v="Retail"/>
    <s v="East-Eve"/>
  </r>
  <r>
    <n v="1074"/>
    <x v="76"/>
    <s v="Eve"/>
    <s v="West"/>
    <n v="7499.7"/>
    <n v="38"/>
    <s v="Food"/>
    <n v="2610.6"/>
    <n v="2836.94"/>
    <s v="Returning"/>
    <n v="0.19"/>
    <s v="Credit Card"/>
    <s v="Online"/>
    <s v="West-Eve"/>
  </r>
  <r>
    <n v="1062"/>
    <x v="77"/>
    <s v="Charlie"/>
    <s v="North"/>
    <n v="4790.72"/>
    <n v="28"/>
    <s v="Clothing"/>
    <n v="2094.88"/>
    <n v="2168.91"/>
    <s v="Returning"/>
    <n v="0.08"/>
    <s v="Cash"/>
    <s v="Retail"/>
    <s v="North-Charlie"/>
  </r>
  <r>
    <n v="1100"/>
    <x v="78"/>
    <s v="Eve"/>
    <s v="East"/>
    <n v="672.66"/>
    <n v="2"/>
    <s v="Furniture"/>
    <n v="1036.76"/>
    <n v="1189.3499999999999"/>
    <s v="New"/>
    <n v="0.27"/>
    <s v="Bank Transfer"/>
    <s v="Online"/>
    <s v="East-Eve"/>
  </r>
  <r>
    <n v="1014"/>
    <x v="6"/>
    <s v="Alice"/>
    <s v="South"/>
    <n v="9582.1200000000008"/>
    <n v="38"/>
    <s v="Food"/>
    <n v="2091.21"/>
    <n v="2527"/>
    <s v="Returning"/>
    <n v="0.01"/>
    <s v="Credit Card"/>
    <s v="Online"/>
    <s v="South-Alice"/>
  </r>
  <r>
    <n v="1095"/>
    <x v="79"/>
    <s v="Alice"/>
    <s v="East"/>
    <n v="9432.9699999999993"/>
    <n v="37"/>
    <s v="Electronics"/>
    <n v="407.77"/>
    <n v="860.95"/>
    <s v="New"/>
    <n v="0.1"/>
    <s v="Credit Card"/>
    <s v="Retail"/>
    <s v="East-Alice"/>
  </r>
  <r>
    <n v="1048"/>
    <x v="80"/>
    <s v="Charlie"/>
    <s v="North"/>
    <n v="7873.38"/>
    <n v="4"/>
    <s v="Furniture"/>
    <n v="2900.14"/>
    <n v="2910.5099999999902"/>
    <s v="New"/>
    <n v="0.22"/>
    <s v="Credit Card"/>
    <s v="Retail"/>
    <s v="North-Charlie"/>
  </r>
  <r>
    <n v="1015"/>
    <x v="81"/>
    <s v="David"/>
    <s v="South"/>
    <n v="9914.15"/>
    <n v="22"/>
    <s v="Electronics"/>
    <n v="4275.59"/>
    <n v="4576.72"/>
    <s v="Returning"/>
    <n v="0.02"/>
    <s v="Cash"/>
    <s v="Retail"/>
    <s v="South-David"/>
  </r>
  <r>
    <n v="1072"/>
    <x v="61"/>
    <s v="Bob"/>
    <s v="East"/>
    <n v="5490.38"/>
    <n v="26"/>
    <s v="Food"/>
    <n v="3640.17"/>
    <n v="4002.63"/>
    <s v="New"/>
    <n v="0.05"/>
    <s v="Credit Card"/>
    <s v="Retail"/>
    <s v="East-Bob"/>
  </r>
  <r>
    <n v="1078"/>
    <x v="41"/>
    <s v="David"/>
    <s v="East"/>
    <n v="9631.41"/>
    <n v="49"/>
    <s v="Furniture"/>
    <n v="1833.95"/>
    <n v="2147.14"/>
    <s v="Returning"/>
    <n v="0.18"/>
    <s v="Credit Card"/>
    <s v="Retail"/>
    <s v="East-David"/>
  </r>
  <r>
    <n v="1087"/>
    <x v="25"/>
    <s v="Eve"/>
    <s v="East"/>
    <n v="848.49"/>
    <n v="43"/>
    <s v="Furniture"/>
    <n v="481"/>
    <n v="531.02"/>
    <s v="New"/>
    <n v="0.17"/>
    <s v="Cash"/>
    <s v="Online"/>
    <s v="East-Eve"/>
  </r>
  <r>
    <n v="1062"/>
    <x v="82"/>
    <s v="Bob"/>
    <s v="East"/>
    <n v="3720.24"/>
    <n v="36"/>
    <s v="Food"/>
    <n v="1050.6400000000001"/>
    <n v="1167.33"/>
    <s v="New"/>
    <n v="0.22"/>
    <s v="Cash"/>
    <s v="Online"/>
    <s v="East-Bob"/>
  </r>
  <r>
    <n v="1040"/>
    <x v="83"/>
    <s v="Charlie"/>
    <s v="East"/>
    <n v="2331.27"/>
    <n v="13"/>
    <s v="Clothing"/>
    <n v="2750.18"/>
    <n v="2882.85"/>
    <s v="Returning"/>
    <n v="0.24"/>
    <s v="Credit Card"/>
    <s v="Online"/>
    <s v="East-Charlie"/>
  </r>
  <r>
    <n v="1085"/>
    <x v="24"/>
    <s v="Charlie"/>
    <s v="South"/>
    <n v="2038.75"/>
    <n v="32"/>
    <s v="Furniture"/>
    <n v="1074.93"/>
    <n v="1492.48"/>
    <s v="Returning"/>
    <n v="0.04"/>
    <s v="Credit Card"/>
    <s v="Retail"/>
    <s v="South-Charlie"/>
  </r>
  <r>
    <n v="1080"/>
    <x v="3"/>
    <s v="Bob"/>
    <s v="West"/>
    <n v="1493.95"/>
    <n v="17"/>
    <s v="Furniture"/>
    <n v="2742.67"/>
    <n v="2979.64"/>
    <s v="Returning"/>
    <n v="0.01"/>
    <s v="Cash"/>
    <s v="Retail"/>
    <s v="West-Bob"/>
  </r>
  <r>
    <n v="1082"/>
    <x v="84"/>
    <s v="Alice"/>
    <s v="South"/>
    <n v="6261.9"/>
    <n v="41"/>
    <s v="Electronics"/>
    <n v="1196.42"/>
    <n v="1444.97"/>
    <s v="Returning"/>
    <n v="0.21"/>
    <s v="Bank Transfer"/>
    <s v="Online"/>
    <s v="South-Alice"/>
  </r>
  <r>
    <n v="1053"/>
    <x v="28"/>
    <s v="Bob"/>
    <s v="South"/>
    <n v="7835.09"/>
    <n v="36"/>
    <s v="Clothing"/>
    <n v="4252.17"/>
    <n v="4720.2700000000004"/>
    <s v="New"/>
    <n v="0.09"/>
    <s v="Cash"/>
    <s v="Retail"/>
    <s v="South-Bob"/>
  </r>
  <r>
    <n v="1024"/>
    <x v="85"/>
    <s v="Eve"/>
    <s v="South"/>
    <n v="5825.15"/>
    <n v="46"/>
    <s v="Electronics"/>
    <n v="2016.49"/>
    <n v="2338.66"/>
    <s v="Returning"/>
    <n v="0.19"/>
    <s v="Bank Transfer"/>
    <s v="Retail"/>
    <s v="South-Eve"/>
  </r>
  <r>
    <n v="1026"/>
    <x v="86"/>
    <s v="Alice"/>
    <s v="West"/>
    <n v="1554.93"/>
    <n v="19"/>
    <s v="Electronics"/>
    <n v="1265.48"/>
    <n v="1715.83"/>
    <s v="New"/>
    <n v="0.05"/>
    <s v="Credit Card"/>
    <s v="Retail"/>
    <s v="West-Alice"/>
  </r>
  <r>
    <n v="1089"/>
    <x v="58"/>
    <s v="Charlie"/>
    <s v="North"/>
    <n v="8130.13"/>
    <n v="35"/>
    <s v="Clothing"/>
    <n v="4071.01"/>
    <n v="4304.7"/>
    <s v="New"/>
    <n v="0.14000000000000001"/>
    <s v="Credit Card"/>
    <s v="Online"/>
    <s v="North-Charlie"/>
  </r>
  <r>
    <n v="1060"/>
    <x v="87"/>
    <s v="Bob"/>
    <s v="West"/>
    <n v="6395.95"/>
    <n v="46"/>
    <s v="Clothing"/>
    <n v="1747.05"/>
    <n v="1830.27"/>
    <s v="New"/>
    <n v="0.15"/>
    <s v="Bank Transfer"/>
    <s v="Retail"/>
    <s v="West-Bob"/>
  </r>
  <r>
    <n v="1041"/>
    <x v="10"/>
    <s v="David"/>
    <s v="South"/>
    <n v="3942.84"/>
    <n v="40"/>
    <s v="Food"/>
    <n v="601.86"/>
    <n v="1067.53"/>
    <s v="New"/>
    <n v="0.18"/>
    <s v="Cash"/>
    <s v="Online"/>
    <s v="South-David"/>
  </r>
  <r>
    <n v="1029"/>
    <x v="88"/>
    <s v="David"/>
    <s v="East"/>
    <n v="6773.89"/>
    <n v="28"/>
    <s v="Clothing"/>
    <n v="2873.53"/>
    <n v="3108.3"/>
    <s v="New"/>
    <n v="0.15"/>
    <s v="Credit Card"/>
    <s v="Retail"/>
    <s v="East-David"/>
  </r>
  <r>
    <n v="1015"/>
    <x v="10"/>
    <s v="Eve"/>
    <s v="East"/>
    <n v="2673.06"/>
    <n v="1"/>
    <s v="Furniture"/>
    <n v="2928.74"/>
    <n v="3027.74"/>
    <s v="New"/>
    <n v="0.15"/>
    <s v="Bank Transfer"/>
    <s v="Retail"/>
    <s v="East-Eve"/>
  </r>
  <r>
    <n v="1045"/>
    <x v="89"/>
    <s v="David"/>
    <s v="South"/>
    <n v="3517.4"/>
    <n v="42"/>
    <s v="Clothing"/>
    <n v="3587.74"/>
    <n v="3745.91"/>
    <s v="Returning"/>
    <n v="0.1"/>
    <s v="Cash"/>
    <s v="Online"/>
    <s v="South-David"/>
  </r>
  <r>
    <n v="1065"/>
    <x v="90"/>
    <s v="Bob"/>
    <s v="East"/>
    <n v="9183.11"/>
    <n v="18"/>
    <s v="Food"/>
    <n v="1239.0899999999999"/>
    <n v="1273.98"/>
    <s v="New"/>
    <n v="0.02"/>
    <s v="Bank Transfer"/>
    <s v="Retail"/>
    <s v="East-Bob"/>
  </r>
  <r>
    <n v="1089"/>
    <x v="91"/>
    <s v="Bob"/>
    <s v="South"/>
    <n v="2975.99"/>
    <n v="48"/>
    <s v="Food"/>
    <n v="2246.67"/>
    <n v="2486.14"/>
    <s v="New"/>
    <n v="0.03"/>
    <s v="Cash"/>
    <s v="Retail"/>
    <s v="South-Bob"/>
  </r>
  <r>
    <n v="1071"/>
    <x v="92"/>
    <s v="David"/>
    <s v="East"/>
    <n v="4752.88"/>
    <n v="40"/>
    <s v="Food"/>
    <n v="1447.72"/>
    <n v="1875.75"/>
    <s v="New"/>
    <n v="0.13"/>
    <s v="Cash"/>
    <s v="Retail"/>
    <s v="East-David"/>
  </r>
  <r>
    <n v="1009"/>
    <x v="14"/>
    <s v="Bob"/>
    <s v="West"/>
    <n v="8912.4"/>
    <n v="33"/>
    <s v="Clothing"/>
    <n v="450.72"/>
    <n v="918.17"/>
    <s v="Returning"/>
    <n v="0.11"/>
    <s v="Cash"/>
    <s v="Online"/>
    <s v="West-Bob"/>
  </r>
  <r>
    <n v="1088"/>
    <x v="93"/>
    <s v="Eve"/>
    <s v="North"/>
    <n v="7106.44"/>
    <n v="12"/>
    <s v="Clothing"/>
    <n v="4389.24"/>
    <n v="4856.2199999999903"/>
    <s v="Returning"/>
    <n v="0.15"/>
    <s v="Cash"/>
    <s v="Retail"/>
    <s v="North-Eve"/>
  </r>
  <r>
    <n v="1001"/>
    <x v="94"/>
    <s v="Alice"/>
    <s v="North"/>
    <n v="715.81"/>
    <n v="8"/>
    <s v="Electronics"/>
    <n v="3657.91"/>
    <n v="3729.27"/>
    <s v="New"/>
    <n v="0.09"/>
    <s v="Bank Transfer"/>
    <s v="Retail"/>
    <s v="North-Alice"/>
  </r>
  <r>
    <n v="1008"/>
    <x v="95"/>
    <s v="Eve"/>
    <s v="West"/>
    <n v="1558.3"/>
    <n v="24"/>
    <s v="Electronics"/>
    <n v="1542.24"/>
    <n v="1739.45"/>
    <s v="Returning"/>
    <n v="0.21"/>
    <s v="Bank Transfer"/>
    <s v="Retail"/>
    <s v="West-Eve"/>
  </r>
  <r>
    <n v="1088"/>
    <x v="96"/>
    <s v="Eve"/>
    <s v="West"/>
    <n v="177.63"/>
    <n v="16"/>
    <s v="Furniture"/>
    <n v="3016.9"/>
    <n v="3040.73"/>
    <s v="New"/>
    <n v="0.26"/>
    <s v="Bank Transfer"/>
    <s v="Retail"/>
    <s v="West-Eve"/>
  </r>
  <r>
    <n v="1063"/>
    <x v="97"/>
    <s v="Bob"/>
    <s v="South"/>
    <n v="6346.13"/>
    <n v="4"/>
    <s v="Electronics"/>
    <n v="1046.26"/>
    <n v="1475.29"/>
    <s v="Returning"/>
    <n v="0.09"/>
    <s v="Bank Transfer"/>
    <s v="Retail"/>
    <s v="South-Bob"/>
  </r>
  <r>
    <n v="1011"/>
    <x v="98"/>
    <s v="Alice"/>
    <s v="South"/>
    <n v="4531.97"/>
    <n v="38"/>
    <s v="Furniture"/>
    <n v="4456.67"/>
    <n v="4642.46"/>
    <s v="New"/>
    <n v="0.06"/>
    <s v="Bank Transfer"/>
    <s v="Online"/>
    <s v="South-Alice"/>
  </r>
  <r>
    <n v="1081"/>
    <x v="99"/>
    <s v="Bob"/>
    <s v="South"/>
    <n v="1429.32"/>
    <n v="44"/>
    <s v="Food"/>
    <n v="618.79"/>
    <n v="938.04"/>
    <s v="Returning"/>
    <n v="0.03"/>
    <s v="Cash"/>
    <s v="Online"/>
    <s v="South-Bob"/>
  </r>
  <r>
    <n v="1008"/>
    <x v="100"/>
    <s v="Charlie"/>
    <s v="East"/>
    <n v="9583.5499999999993"/>
    <n v="27"/>
    <s v="Electronics"/>
    <n v="68.989999999999995"/>
    <n v="429.29"/>
    <s v="Returning"/>
    <n v="0.18"/>
    <s v="Credit Card"/>
    <s v="Retail"/>
    <s v="East-Charlie"/>
  </r>
  <r>
    <n v="1035"/>
    <x v="101"/>
    <s v="Bob"/>
    <s v="South"/>
    <n v="5343.63"/>
    <n v="9"/>
    <s v="Clothing"/>
    <n v="2534.94"/>
    <n v="2755.56"/>
    <s v="Returning"/>
    <n v="0.13"/>
    <s v="Credit Card"/>
    <s v="Retail"/>
    <s v="South-Bob"/>
  </r>
  <r>
    <n v="1035"/>
    <x v="42"/>
    <s v="Bob"/>
    <s v="West"/>
    <n v="2494.7399999999998"/>
    <n v="47"/>
    <s v="Electronics"/>
    <n v="2936.48"/>
    <n v="3096.64"/>
    <s v="New"/>
    <n v="0.06"/>
    <s v="Bank Transfer"/>
    <s v="Online"/>
    <s v="West-Bob"/>
  </r>
  <r>
    <n v="1033"/>
    <x v="102"/>
    <s v="Bob"/>
    <s v="North"/>
    <n v="5055.9799999999996"/>
    <n v="16"/>
    <s v="Furniture"/>
    <n v="2915.88"/>
    <n v="3397.36"/>
    <s v="New"/>
    <n v="0.2"/>
    <s v="Bank Transfer"/>
    <s v="Retail"/>
    <s v="North-Bob"/>
  </r>
  <r>
    <n v="1005"/>
    <x v="103"/>
    <s v="Alice"/>
    <s v="East"/>
    <n v="6828.24"/>
    <n v="12"/>
    <s v="Electronics"/>
    <n v="319.83"/>
    <n v="802.43"/>
    <s v="New"/>
    <n v="0.04"/>
    <s v="Credit Card"/>
    <s v="Retail"/>
    <s v="East-Alice"/>
  </r>
  <r>
    <n v="1041"/>
    <x v="104"/>
    <s v="Bob"/>
    <s v="South"/>
    <n v="854.77"/>
    <n v="31"/>
    <s v="Food"/>
    <n v="1604.52"/>
    <n v="1756.34"/>
    <s v="Returning"/>
    <n v="0.17"/>
    <s v="Cash"/>
    <s v="Retail"/>
    <s v="South-Bob"/>
  </r>
  <r>
    <n v="1028"/>
    <x v="5"/>
    <s v="Alice"/>
    <s v="East"/>
    <n v="2819.57"/>
    <n v="24"/>
    <s v="Clothing"/>
    <n v="2521.0300000000002"/>
    <n v="2766.05"/>
    <s v="Returning"/>
    <n v="0.16"/>
    <s v="Bank Transfer"/>
    <s v="Retail"/>
    <s v="East-Alice"/>
  </r>
  <r>
    <n v="1007"/>
    <x v="103"/>
    <s v="David"/>
    <s v="East"/>
    <n v="8088.96"/>
    <n v="14"/>
    <s v="Furniture"/>
    <n v="1122.07"/>
    <n v="1608.76"/>
    <s v="New"/>
    <n v="0.22"/>
    <s v="Cash"/>
    <s v="Retail"/>
    <s v="East-David"/>
  </r>
  <r>
    <n v="1073"/>
    <x v="87"/>
    <s v="Charlie"/>
    <s v="South"/>
    <n v="4650.68"/>
    <n v="45"/>
    <s v="Clothing"/>
    <n v="4369.5"/>
    <n v="4381.8900000000003"/>
    <s v="Returning"/>
    <n v="0.02"/>
    <s v="Credit Card"/>
    <s v="Retail"/>
    <s v="South-Charlie"/>
  </r>
  <r>
    <n v="1072"/>
    <x v="90"/>
    <s v="Alice"/>
    <s v="East"/>
    <n v="5511.11"/>
    <n v="25"/>
    <s v="Clothing"/>
    <n v="481.19"/>
    <n v="693.4"/>
    <s v="New"/>
    <n v="0.27"/>
    <s v="Credit Card"/>
    <s v="Retail"/>
    <s v="East-Alice"/>
  </r>
  <r>
    <n v="1012"/>
    <x v="105"/>
    <s v="David"/>
    <s v="North"/>
    <n v="4384.88"/>
    <n v="34"/>
    <s v="Furniture"/>
    <n v="2462.5500000000002"/>
    <n v="2521.77"/>
    <s v="New"/>
    <n v="0.21"/>
    <s v="Bank Transfer"/>
    <s v="Retail"/>
    <s v="North-David"/>
  </r>
  <r>
    <n v="1034"/>
    <x v="106"/>
    <s v="Alice"/>
    <s v="West"/>
    <n v="534.61"/>
    <n v="3"/>
    <s v="Clothing"/>
    <n v="3472.51"/>
    <n v="3732"/>
    <s v="New"/>
    <n v="0.06"/>
    <s v="Cash"/>
    <s v="Online"/>
    <s v="West-Alice"/>
  </r>
  <r>
    <n v="1033"/>
    <x v="107"/>
    <s v="Alice"/>
    <s v="West"/>
    <n v="1740.92"/>
    <n v="24"/>
    <s v="Clothing"/>
    <n v="1345.67"/>
    <n v="1367.76"/>
    <s v="New"/>
    <n v="0.06"/>
    <s v="Bank Transfer"/>
    <s v="Online"/>
    <s v="West-Alice"/>
  </r>
  <r>
    <n v="1048"/>
    <x v="108"/>
    <s v="Charlie"/>
    <s v="North"/>
    <n v="4510.8599999999997"/>
    <n v="42"/>
    <s v="Electronics"/>
    <n v="3139.99"/>
    <n v="3349.37"/>
    <s v="Returning"/>
    <n v="0.13"/>
    <s v="Credit Card"/>
    <s v="Retail"/>
    <s v="North-Charlie"/>
  </r>
  <r>
    <n v="1023"/>
    <x v="109"/>
    <s v="Eve"/>
    <s v="East"/>
    <n v="2170.94"/>
    <n v="9"/>
    <s v="Clothing"/>
    <n v="4155.46"/>
    <n v="4273.6000000000004"/>
    <s v="Returning"/>
    <n v="0.25"/>
    <s v="Cash"/>
    <s v="Retail"/>
    <s v="East-Eve"/>
  </r>
  <r>
    <n v="1062"/>
    <x v="110"/>
    <s v="Eve"/>
    <s v="South"/>
    <n v="594.79"/>
    <n v="26"/>
    <s v="Clothing"/>
    <n v="992.17"/>
    <n v="1263.49"/>
    <s v="Returning"/>
    <n v="0.25"/>
    <s v="Bank Transfer"/>
    <s v="Retail"/>
    <s v="South-Eve"/>
  </r>
  <r>
    <n v="1088"/>
    <x v="111"/>
    <s v="Alice"/>
    <s v="East"/>
    <n v="8452.1299999999992"/>
    <n v="20"/>
    <s v="Clothing"/>
    <n v="4590.24"/>
    <n v="5088.28"/>
    <s v="New"/>
    <n v="0.16"/>
    <s v="Bank Transfer"/>
    <s v="Retail"/>
    <s v="East-Alice"/>
  </r>
  <r>
    <n v="1037"/>
    <x v="112"/>
    <s v="Bob"/>
    <s v="North"/>
    <n v="9813.81"/>
    <n v="40"/>
    <s v="Clothing"/>
    <n v="2790.11"/>
    <n v="3192.37"/>
    <s v="Returning"/>
    <n v="0.26"/>
    <s v="Bank Transfer"/>
    <s v="Online"/>
    <s v="North-Bob"/>
  </r>
  <r>
    <n v="1099"/>
    <x v="113"/>
    <s v="David"/>
    <s v="East"/>
    <n v="7952.11"/>
    <n v="10"/>
    <s v="Furniture"/>
    <n v="1531.2"/>
    <n v="1955.56"/>
    <s v="New"/>
    <n v="0"/>
    <s v="Credit Card"/>
    <s v="Online"/>
    <s v="East-David"/>
  </r>
  <r>
    <n v="1044"/>
    <x v="114"/>
    <s v="Bob"/>
    <s v="West"/>
    <n v="8552.4699999999993"/>
    <n v="19"/>
    <s v="Food"/>
    <n v="2182.75"/>
    <n v="2504.0299999999902"/>
    <s v="New"/>
    <n v="0.01"/>
    <s v="Bank Transfer"/>
    <s v="Online"/>
    <s v="West-Bob"/>
  </r>
  <r>
    <n v="1086"/>
    <x v="115"/>
    <s v="Bob"/>
    <s v="East"/>
    <n v="2495.5700000000002"/>
    <n v="3"/>
    <s v="Electronics"/>
    <n v="1595.35"/>
    <n v="1625.70999999999"/>
    <s v="New"/>
    <n v="0.27"/>
    <s v="Cash"/>
    <s v="Online"/>
    <s v="East-Bob"/>
  </r>
  <r>
    <n v="1091"/>
    <x v="116"/>
    <s v="Alice"/>
    <s v="North"/>
    <n v="9610.2099999999991"/>
    <n v="24"/>
    <s v="Clothing"/>
    <n v="3639.3"/>
    <n v="3750.63"/>
    <s v="New"/>
    <n v="0.23"/>
    <s v="Bank Transfer"/>
    <s v="Retail"/>
    <s v="North-Alice"/>
  </r>
  <r>
    <n v="1035"/>
    <x v="53"/>
    <s v="Alice"/>
    <s v="West"/>
    <n v="2049.56"/>
    <n v="5"/>
    <s v="Clothing"/>
    <n v="3991.69"/>
    <n v="4454.97"/>
    <s v="New"/>
    <n v="0.14000000000000001"/>
    <s v="Credit Card"/>
    <s v="Retail"/>
    <s v="West-Alice"/>
  </r>
  <r>
    <n v="1065"/>
    <x v="117"/>
    <s v="Alice"/>
    <s v="East"/>
    <n v="9519.16"/>
    <n v="3"/>
    <s v="Furniture"/>
    <n v="4173.04"/>
    <n v="4362.4399999999996"/>
    <s v="New"/>
    <n v="0.23"/>
    <s v="Bank Transfer"/>
    <s v="Retail"/>
    <s v="East-Alice"/>
  </r>
  <r>
    <n v="1099"/>
    <x v="106"/>
    <s v="Alice"/>
    <s v="East"/>
    <n v="9948.7099999999991"/>
    <n v="27"/>
    <s v="Food"/>
    <n v="4929.55"/>
    <n v="4990.33"/>
    <s v="Returning"/>
    <n v="0.28999999999999998"/>
    <s v="Credit Card"/>
    <s v="Online"/>
    <s v="East-Alice"/>
  </r>
  <r>
    <n v="1047"/>
    <x v="106"/>
    <s v="Eve"/>
    <s v="West"/>
    <n v="7146.06"/>
    <n v="16"/>
    <s v="Clothing"/>
    <n v="3966.86"/>
    <n v="4321.04"/>
    <s v="Returning"/>
    <n v="0.23"/>
    <s v="Credit Card"/>
    <s v="Retail"/>
    <s v="West-Eve"/>
  </r>
  <r>
    <n v="1078"/>
    <x v="118"/>
    <s v="Alice"/>
    <s v="South"/>
    <n v="9813.32"/>
    <n v="49"/>
    <s v="Furniture"/>
    <n v="3026.85"/>
    <n v="3183.58"/>
    <s v="Returning"/>
    <n v="0.25"/>
    <s v="Cash"/>
    <s v="Retail"/>
    <s v="South-Alice"/>
  </r>
  <r>
    <n v="1003"/>
    <x v="18"/>
    <s v="Eve"/>
    <s v="West"/>
    <n v="5738.44"/>
    <n v="15"/>
    <s v="Electronics"/>
    <n v="1729.14"/>
    <n v="1870.88"/>
    <s v="Returning"/>
    <n v="0.23"/>
    <s v="Cash"/>
    <s v="Online"/>
    <s v="West-Eve"/>
  </r>
  <r>
    <n v="1001"/>
    <x v="39"/>
    <s v="Eve"/>
    <s v="South"/>
    <n v="2669.46"/>
    <n v="35"/>
    <s v="Electronics"/>
    <n v="2745.75"/>
    <n v="3244.76"/>
    <s v="New"/>
    <n v="0.05"/>
    <s v="Bank Transfer"/>
    <s v="Online"/>
    <s v="South-Eve"/>
  </r>
  <r>
    <n v="1005"/>
    <x v="119"/>
    <s v="Alice"/>
    <s v="North"/>
    <n v="4426.26"/>
    <n v="12"/>
    <s v="Clothing"/>
    <n v="253.29"/>
    <n v="683.78"/>
    <s v="New"/>
    <n v="0.25"/>
    <s v="Credit Card"/>
    <s v="Online"/>
    <s v="North-Alice"/>
  </r>
  <r>
    <n v="1090"/>
    <x v="109"/>
    <s v="Charlie"/>
    <s v="North"/>
    <n v="5976.25"/>
    <n v="41"/>
    <s v="Clothing"/>
    <n v="3736.88"/>
    <n v="3946.77"/>
    <s v="Returning"/>
    <n v="0.06"/>
    <s v="Credit Card"/>
    <s v="Online"/>
    <s v="North-Charlie"/>
  </r>
  <r>
    <n v="1014"/>
    <x v="5"/>
    <s v="David"/>
    <s v="West"/>
    <n v="823.51"/>
    <n v="44"/>
    <s v="Food"/>
    <n v="2257.48"/>
    <n v="2747.81"/>
    <s v="Returning"/>
    <n v="0.27"/>
    <s v="Cash"/>
    <s v="Online"/>
    <s v="West-David"/>
  </r>
  <r>
    <n v="1027"/>
    <x v="120"/>
    <s v="Bob"/>
    <s v="West"/>
    <n v="6261.2"/>
    <n v="26"/>
    <s v="Food"/>
    <n v="149.11000000000001"/>
    <n v="477.67"/>
    <s v="Returning"/>
    <n v="0.14000000000000001"/>
    <s v="Cash"/>
    <s v="Retail"/>
    <s v="West-Bob"/>
  </r>
  <r>
    <n v="1009"/>
    <x v="1"/>
    <s v="Eve"/>
    <s v="North"/>
    <n v="9813.66"/>
    <n v="47"/>
    <s v="Clothing"/>
    <n v="359.41"/>
    <n v="733"/>
    <s v="Returning"/>
    <n v="0.2"/>
    <s v="Bank Transfer"/>
    <s v="Retail"/>
    <s v="North-Eve"/>
  </r>
  <r>
    <n v="1079"/>
    <x v="121"/>
    <s v="David"/>
    <s v="South"/>
    <n v="1982.07"/>
    <n v="34"/>
    <s v="Furniture"/>
    <n v="1967.96"/>
    <n v="1993.4"/>
    <s v="Returning"/>
    <n v="0.15"/>
    <s v="Credit Card"/>
    <s v="Online"/>
    <s v="South-David"/>
  </r>
  <r>
    <n v="1015"/>
    <x v="15"/>
    <s v="Charlie"/>
    <s v="North"/>
    <n v="7946.69"/>
    <n v="23"/>
    <s v="Food"/>
    <n v="2937.94"/>
    <n v="3007.53"/>
    <s v="Returning"/>
    <n v="0.03"/>
    <s v="Cash"/>
    <s v="Retail"/>
    <s v="North-Charlie"/>
  </r>
  <r>
    <n v="1090"/>
    <x v="122"/>
    <s v="Bob"/>
    <s v="West"/>
    <n v="9088.2000000000007"/>
    <n v="31"/>
    <s v="Clothing"/>
    <n v="2347.81"/>
    <n v="2668.02"/>
    <s v="Returning"/>
    <n v="0.09"/>
    <s v="Bank Transfer"/>
    <s v="Retail"/>
    <s v="West-Bob"/>
  </r>
  <r>
    <n v="1042"/>
    <x v="121"/>
    <s v="Bob"/>
    <s v="North"/>
    <n v="9442.65"/>
    <n v="20"/>
    <s v="Food"/>
    <n v="3115.06"/>
    <n v="3565.58"/>
    <s v="Returning"/>
    <n v="0.3"/>
    <s v="Credit Card"/>
    <s v="Retail"/>
    <s v="North-Bob"/>
  </r>
  <r>
    <n v="1077"/>
    <x v="61"/>
    <s v="Eve"/>
    <s v="West"/>
    <n v="9605.34"/>
    <n v="12"/>
    <s v="Clothing"/>
    <n v="2427.46"/>
    <n v="2743.09"/>
    <s v="New"/>
    <n v="0.28999999999999998"/>
    <s v="Credit Card"/>
    <s v="Retail"/>
    <s v="West-Eve"/>
  </r>
  <r>
    <n v="1051"/>
    <x v="123"/>
    <s v="Alice"/>
    <s v="West"/>
    <n v="5262.45"/>
    <n v="23"/>
    <s v="Electronics"/>
    <n v="3325.43"/>
    <n v="3401.1"/>
    <s v="New"/>
    <n v="0.1"/>
    <s v="Cash"/>
    <s v="Online"/>
    <s v="West-Alice"/>
  </r>
  <r>
    <n v="1063"/>
    <x v="15"/>
    <s v="Charlie"/>
    <s v="North"/>
    <n v="9775.35"/>
    <n v="4"/>
    <s v="Clothing"/>
    <n v="1134.67"/>
    <n v="1201.3900000000001"/>
    <s v="New"/>
    <n v="0.3"/>
    <s v="Bank Transfer"/>
    <s v="Retail"/>
    <s v="North-Charlie"/>
  </r>
  <r>
    <n v="1096"/>
    <x v="124"/>
    <s v="Eve"/>
    <s v="South"/>
    <n v="7597.37"/>
    <n v="23"/>
    <s v="Electronics"/>
    <n v="608.57000000000005"/>
    <n v="1032.22"/>
    <s v="New"/>
    <n v="0.25"/>
    <s v="Cash"/>
    <s v="Retail"/>
    <s v="South-Eve"/>
  </r>
  <r>
    <n v="1052"/>
    <x v="125"/>
    <s v="Charlie"/>
    <s v="East"/>
    <n v="1700.55"/>
    <n v="48"/>
    <s v="Food"/>
    <n v="3002.35"/>
    <n v="3080.61"/>
    <s v="Returning"/>
    <n v="0.18"/>
    <s v="Bank Transfer"/>
    <s v="Retail"/>
    <s v="East-Charlie"/>
  </r>
  <r>
    <n v="1096"/>
    <x v="126"/>
    <s v="Alice"/>
    <s v="North"/>
    <n v="4821.3100000000004"/>
    <n v="48"/>
    <s v="Clothing"/>
    <n v="2449.21"/>
    <n v="2714.12"/>
    <s v="New"/>
    <n v="0.01"/>
    <s v="Credit Card"/>
    <s v="Online"/>
    <s v="North-Alice"/>
  </r>
  <r>
    <n v="1004"/>
    <x v="35"/>
    <s v="Alice"/>
    <s v="East"/>
    <n v="7211.48"/>
    <n v="1"/>
    <s v="Food"/>
    <n v="182.99"/>
    <n v="211.18"/>
    <s v="Returning"/>
    <n v="0.27"/>
    <s v="Bank Transfer"/>
    <s v="Retail"/>
    <s v="East-Alice"/>
  </r>
  <r>
    <n v="1094"/>
    <x v="69"/>
    <s v="Eve"/>
    <s v="North"/>
    <n v="2548.67"/>
    <n v="25"/>
    <s v="Electronics"/>
    <n v="1933.39"/>
    <n v="1982.92"/>
    <s v="New"/>
    <n v="0.17"/>
    <s v="Bank Transfer"/>
    <s v="Online"/>
    <s v="North-Eve"/>
  </r>
  <r>
    <n v="1023"/>
    <x v="99"/>
    <s v="Alice"/>
    <s v="East"/>
    <n v="6442.09"/>
    <n v="2"/>
    <s v="Clothing"/>
    <n v="575.32000000000005"/>
    <n v="914.77"/>
    <s v="Returning"/>
    <n v="0.26"/>
    <s v="Bank Transfer"/>
    <s v="Online"/>
    <s v="East-Alice"/>
  </r>
  <r>
    <n v="1015"/>
    <x v="127"/>
    <s v="David"/>
    <s v="South"/>
    <n v="6699.34"/>
    <n v="30"/>
    <s v="Food"/>
    <n v="2680.22"/>
    <n v="3027.9199999999901"/>
    <s v="Returning"/>
    <n v="0.25"/>
    <s v="Bank Transfer"/>
    <s v="Online"/>
    <s v="South-David"/>
  </r>
  <r>
    <n v="1043"/>
    <x v="128"/>
    <s v="Bob"/>
    <s v="South"/>
    <n v="1710.73"/>
    <n v="3"/>
    <s v="Electronics"/>
    <n v="2009.1"/>
    <n v="2186.42"/>
    <s v="New"/>
    <n v="0.25"/>
    <s v="Bank Transfer"/>
    <s v="Online"/>
    <s v="South-Bob"/>
  </r>
  <r>
    <n v="1029"/>
    <x v="111"/>
    <s v="Eve"/>
    <s v="North"/>
    <n v="5694.34"/>
    <n v="21"/>
    <s v="Food"/>
    <n v="3085.1"/>
    <n v="3200.75"/>
    <s v="New"/>
    <n v="0.21"/>
    <s v="Cash"/>
    <s v="Retail"/>
    <s v="North-Eve"/>
  </r>
  <r>
    <n v="1036"/>
    <x v="40"/>
    <s v="Charlie"/>
    <s v="West"/>
    <n v="7739.11"/>
    <n v="25"/>
    <s v="Furniture"/>
    <n v="4037.73"/>
    <n v="4446.45"/>
    <s v="Returning"/>
    <n v="0.09"/>
    <s v="Bank Transfer"/>
    <s v="Online"/>
    <s v="West-Charlie"/>
  </r>
  <r>
    <n v="1013"/>
    <x v="129"/>
    <s v="David"/>
    <s v="East"/>
    <n v="5039.07"/>
    <n v="20"/>
    <s v="Electronics"/>
    <n v="1533.36"/>
    <n v="1649.73999999999"/>
    <s v="Returning"/>
    <n v="0.1"/>
    <s v="Bank Transfer"/>
    <s v="Online"/>
    <s v="East-David"/>
  </r>
  <r>
    <n v="1032"/>
    <x v="130"/>
    <s v="Eve"/>
    <s v="West"/>
    <n v="219.82"/>
    <n v="49"/>
    <s v="Electronics"/>
    <n v="4812.41"/>
    <n v="5088"/>
    <s v="Returning"/>
    <n v="0.09"/>
    <s v="Credit Card"/>
    <s v="Online"/>
    <s v="West-Eve"/>
  </r>
  <r>
    <n v="1071"/>
    <x v="131"/>
    <s v="Alice"/>
    <s v="West"/>
    <n v="189.48"/>
    <n v="22"/>
    <s v="Electronics"/>
    <n v="2701.39"/>
    <n v="3185.81"/>
    <s v="New"/>
    <n v="0.01"/>
    <s v="Bank Transfer"/>
    <s v="Online"/>
    <s v="West-Alice"/>
  </r>
  <r>
    <n v="1059"/>
    <x v="132"/>
    <s v="Alice"/>
    <s v="West"/>
    <n v="3634.59"/>
    <n v="21"/>
    <s v="Clothing"/>
    <n v="3110.54"/>
    <n v="3192.99"/>
    <s v="New"/>
    <n v="0.17"/>
    <s v="Credit Card"/>
    <s v="Online"/>
    <s v="West-Alice"/>
  </r>
  <r>
    <n v="1086"/>
    <x v="13"/>
    <s v="Alice"/>
    <s v="South"/>
    <n v="9269.32"/>
    <n v="33"/>
    <s v="Clothing"/>
    <n v="3419.33"/>
    <n v="3890.3599999999901"/>
    <s v="Returning"/>
    <n v="0.21"/>
    <s v="Cash"/>
    <s v="Retail"/>
    <s v="South-Alice"/>
  </r>
  <r>
    <n v="1028"/>
    <x v="133"/>
    <s v="Alice"/>
    <s v="North"/>
    <n v="2363.9"/>
    <n v="38"/>
    <s v="Clothing"/>
    <n v="3350.32"/>
    <n v="3449.94"/>
    <s v="New"/>
    <n v="0.26"/>
    <s v="Cash"/>
    <s v="Online"/>
    <s v="North-Alice"/>
  </r>
  <r>
    <n v="1066"/>
    <x v="134"/>
    <s v="Charlie"/>
    <s v="North"/>
    <n v="6380.2"/>
    <n v="15"/>
    <s v="Furniture"/>
    <n v="2579.31"/>
    <n v="2867.36"/>
    <s v="Returning"/>
    <n v="0.04"/>
    <s v="Bank Transfer"/>
    <s v="Retail"/>
    <s v="North-Charlie"/>
  </r>
  <r>
    <n v="1042"/>
    <x v="120"/>
    <s v="David"/>
    <s v="South"/>
    <n v="2298.5500000000002"/>
    <n v="46"/>
    <s v="Furniture"/>
    <n v="2172.38"/>
    <n v="2367.11"/>
    <s v="New"/>
    <n v="0.16"/>
    <s v="Cash"/>
    <s v="Retail"/>
    <s v="South-David"/>
  </r>
  <r>
    <n v="1045"/>
    <x v="121"/>
    <s v="Bob"/>
    <s v="South"/>
    <n v="3284.53"/>
    <n v="15"/>
    <s v="Electronics"/>
    <n v="316.22000000000003"/>
    <n v="799.04"/>
    <s v="New"/>
    <n v="0"/>
    <s v="Bank Transfer"/>
    <s v="Online"/>
    <s v="South-Bob"/>
  </r>
  <r>
    <n v="1062"/>
    <x v="135"/>
    <s v="Charlie"/>
    <s v="North"/>
    <n v="8495.6200000000008"/>
    <n v="46"/>
    <s v="Furniture"/>
    <n v="159.32"/>
    <n v="303.36"/>
    <s v="New"/>
    <n v="0.03"/>
    <s v="Cash"/>
    <s v="Retail"/>
    <s v="North-Charlie"/>
  </r>
  <r>
    <n v="1057"/>
    <x v="70"/>
    <s v="Charlie"/>
    <s v="West"/>
    <n v="7315.73"/>
    <n v="25"/>
    <s v="Food"/>
    <n v="1821.91"/>
    <n v="2027.74"/>
    <s v="New"/>
    <n v="0.02"/>
    <s v="Bank Transfer"/>
    <s v="Retail"/>
    <s v="West-Charlie"/>
  </r>
  <r>
    <n v="1006"/>
    <x v="121"/>
    <s v="Bob"/>
    <s v="East"/>
    <n v="1044.45"/>
    <n v="21"/>
    <s v="Electronics"/>
    <n v="1701.62"/>
    <n v="2193.2199999999998"/>
    <s v="New"/>
    <n v="0.22"/>
    <s v="Bank Transfer"/>
    <s v="Retail"/>
    <s v="East-Bob"/>
  </r>
  <r>
    <n v="1028"/>
    <x v="57"/>
    <s v="Bob"/>
    <s v="East"/>
    <n v="4344.1499999999996"/>
    <n v="24"/>
    <s v="Electronics"/>
    <n v="1969.09"/>
    <n v="2241.96"/>
    <s v="Returning"/>
    <n v="0.02"/>
    <s v="Credit Card"/>
    <s v="Online"/>
    <s v="East-Bob"/>
  </r>
  <r>
    <n v="1028"/>
    <x v="50"/>
    <s v="Alice"/>
    <s v="East"/>
    <n v="388.78"/>
    <n v="5"/>
    <s v="Food"/>
    <n v="734.92"/>
    <n v="991.21"/>
    <s v="Returning"/>
    <n v="0.21"/>
    <s v="Credit Card"/>
    <s v="Online"/>
    <s v="East-Alice"/>
  </r>
  <r>
    <n v="1044"/>
    <x v="136"/>
    <s v="Charlie"/>
    <s v="West"/>
    <n v="4860.8100000000004"/>
    <n v="6"/>
    <s v="Electronics"/>
    <n v="3703.93"/>
    <n v="3840.24"/>
    <s v="New"/>
    <n v="7.0000000000000007E-2"/>
    <s v="Credit Card"/>
    <s v="Online"/>
    <s v="West-Charlie"/>
  </r>
  <r>
    <n v="1084"/>
    <x v="46"/>
    <s v="Eve"/>
    <s v="North"/>
    <n v="6658.1"/>
    <n v="49"/>
    <s v="Furniture"/>
    <n v="4291.97"/>
    <n v="4645.6400000000003"/>
    <s v="Returning"/>
    <n v="0.26"/>
    <s v="Credit Card"/>
    <s v="Online"/>
    <s v="North-Eve"/>
  </r>
  <r>
    <n v="1030"/>
    <x v="75"/>
    <s v="Bob"/>
    <s v="South"/>
    <n v="1273.18"/>
    <n v="43"/>
    <s v="Clothing"/>
    <n v="4696.6400000000003"/>
    <n v="4713.68"/>
    <s v="Returning"/>
    <n v="0.24"/>
    <s v="Bank Transfer"/>
    <s v="Online"/>
    <s v="South-Bob"/>
  </r>
  <r>
    <n v="1062"/>
    <x v="25"/>
    <s v="Bob"/>
    <s v="North"/>
    <n v="2959.96"/>
    <n v="48"/>
    <s v="Food"/>
    <n v="2487.19"/>
    <n v="2521.4499999999998"/>
    <s v="New"/>
    <n v="0.28999999999999998"/>
    <s v="Cash"/>
    <s v="Online"/>
    <s v="North-Bob"/>
  </r>
  <r>
    <n v="1075"/>
    <x v="137"/>
    <s v="David"/>
    <s v="West"/>
    <n v="4038.58"/>
    <n v="44"/>
    <s v="Furniture"/>
    <n v="3519.29"/>
    <n v="3822.98"/>
    <s v="Returning"/>
    <n v="0.27"/>
    <s v="Bank Transfer"/>
    <s v="Online"/>
    <s v="West-David"/>
  </r>
  <r>
    <n v="1092"/>
    <x v="30"/>
    <s v="Eve"/>
    <s v="South"/>
    <n v="9203.36"/>
    <n v="47"/>
    <s v="Food"/>
    <n v="4284.9799999999996"/>
    <n v="4462.3999999999996"/>
    <s v="New"/>
    <n v="0.28000000000000003"/>
    <s v="Credit Card"/>
    <s v="Retail"/>
    <s v="South-Eve"/>
  </r>
  <r>
    <n v="1089"/>
    <x v="138"/>
    <s v="Eve"/>
    <s v="West"/>
    <n v="9933.2199999999993"/>
    <n v="23"/>
    <s v="Food"/>
    <n v="2120.54"/>
    <n v="2597.67"/>
    <s v="Returning"/>
    <n v="0.26"/>
    <s v="Credit Card"/>
    <s v="Retail"/>
    <s v="West-Eve"/>
  </r>
  <r>
    <n v="1062"/>
    <x v="9"/>
    <s v="Bob"/>
    <s v="East"/>
    <n v="544.62"/>
    <n v="4"/>
    <s v="Electronics"/>
    <n v="1581.59"/>
    <n v="2034.1499999999901"/>
    <s v="Returning"/>
    <n v="0.21"/>
    <s v="Cash"/>
    <s v="Online"/>
    <s v="East-Bob"/>
  </r>
  <r>
    <n v="1097"/>
    <x v="139"/>
    <s v="Alice"/>
    <s v="East"/>
    <n v="7633.98"/>
    <n v="27"/>
    <s v="Electronics"/>
    <n v="4686.79"/>
    <n v="5046.51"/>
    <s v="Returning"/>
    <n v="0.05"/>
    <s v="Credit Card"/>
    <s v="Retail"/>
    <s v="East-Alice"/>
  </r>
  <r>
    <n v="1001"/>
    <x v="140"/>
    <s v="David"/>
    <s v="West"/>
    <n v="3780.07"/>
    <n v="18"/>
    <s v="Furniture"/>
    <n v="2602.6"/>
    <n v="3013.49"/>
    <s v="Returning"/>
    <n v="0.08"/>
    <s v="Bank Transfer"/>
    <s v="Online"/>
    <s v="West-David"/>
  </r>
  <r>
    <n v="1027"/>
    <x v="83"/>
    <s v="Eve"/>
    <s v="South"/>
    <n v="3985.34"/>
    <n v="21"/>
    <s v="Food"/>
    <n v="2511.41"/>
    <n v="2848.3999999999901"/>
    <s v="Returning"/>
    <n v="0.06"/>
    <s v="Bank Transfer"/>
    <s v="Online"/>
    <s v="South-Eve"/>
  </r>
  <r>
    <n v="1062"/>
    <x v="141"/>
    <s v="Bob"/>
    <s v="South"/>
    <n v="7567.22"/>
    <n v="28"/>
    <s v="Electronics"/>
    <n v="933.16"/>
    <n v="1004.69999999999"/>
    <s v="Returning"/>
    <n v="0.18"/>
    <s v="Bank Transfer"/>
    <s v="Online"/>
    <s v="South-Bob"/>
  </r>
  <r>
    <n v="1077"/>
    <x v="142"/>
    <s v="Eve"/>
    <s v="North"/>
    <n v="9192.42"/>
    <n v="35"/>
    <s v="Electronics"/>
    <n v="585.37"/>
    <n v="970.49"/>
    <s v="Returning"/>
    <n v="0.15"/>
    <s v="Bank Transfer"/>
    <s v="Retail"/>
    <s v="North-Eve"/>
  </r>
  <r>
    <n v="1003"/>
    <x v="124"/>
    <s v="David"/>
    <s v="East"/>
    <n v="9514.19"/>
    <n v="22"/>
    <s v="Food"/>
    <n v="4218.43"/>
    <n v="4331.42"/>
    <s v="New"/>
    <n v="0.26"/>
    <s v="Bank Transfer"/>
    <s v="Online"/>
    <s v="East-David"/>
  </r>
  <r>
    <n v="1070"/>
    <x v="128"/>
    <s v="David"/>
    <s v="North"/>
    <n v="5813.51"/>
    <n v="40"/>
    <s v="Furniture"/>
    <n v="3089.96"/>
    <n v="3258.45"/>
    <s v="New"/>
    <n v="0.28999999999999998"/>
    <s v="Cash"/>
    <s v="Online"/>
    <s v="North-David"/>
  </r>
  <r>
    <n v="1072"/>
    <x v="143"/>
    <s v="Charlie"/>
    <s v="North"/>
    <n v="3635.5"/>
    <n v="23"/>
    <s v="Furniture"/>
    <n v="1662.83"/>
    <n v="2074.25"/>
    <s v="New"/>
    <n v="0.12"/>
    <s v="Bank Transfer"/>
    <s v="Online"/>
    <s v="North-Charlie"/>
  </r>
  <r>
    <n v="1027"/>
    <x v="61"/>
    <s v="Bob"/>
    <s v="West"/>
    <n v="7896.74"/>
    <n v="3"/>
    <s v="Food"/>
    <n v="999.09"/>
    <n v="1271.99"/>
    <s v="New"/>
    <n v="0.15"/>
    <s v="Credit Card"/>
    <s v="Online"/>
    <s v="West-Bob"/>
  </r>
  <r>
    <n v="1009"/>
    <x v="39"/>
    <s v="David"/>
    <s v="West"/>
    <n v="2584.91"/>
    <n v="40"/>
    <s v="Furniture"/>
    <n v="2799.71"/>
    <n v="3231.08"/>
    <s v="Returning"/>
    <n v="0.28999999999999998"/>
    <s v="Credit Card"/>
    <s v="Retail"/>
    <s v="West-David"/>
  </r>
  <r>
    <n v="1062"/>
    <x v="144"/>
    <s v="Charlie"/>
    <s v="North"/>
    <n v="5684.33"/>
    <n v="10"/>
    <s v="Electronics"/>
    <n v="2940.4"/>
    <n v="3054.79"/>
    <s v="Returning"/>
    <n v="0.08"/>
    <s v="Credit Card"/>
    <s v="Online"/>
    <s v="North-Charlie"/>
  </r>
  <r>
    <n v="1037"/>
    <x v="112"/>
    <s v="Charlie"/>
    <s v="East"/>
    <n v="3649.93"/>
    <n v="25"/>
    <s v="Food"/>
    <n v="1074.6199999999999"/>
    <n v="1382.4299999999901"/>
    <s v="Returning"/>
    <n v="0.24"/>
    <s v="Credit Card"/>
    <s v="Retail"/>
    <s v="East-Charlie"/>
  </r>
  <r>
    <n v="1097"/>
    <x v="131"/>
    <s v="Eve"/>
    <s v="West"/>
    <n v="6600.65"/>
    <n v="49"/>
    <s v="Electronics"/>
    <n v="4264.46"/>
    <n v="4315.5200000000004"/>
    <s v="New"/>
    <n v="7.0000000000000007E-2"/>
    <s v="Cash"/>
    <s v="Retail"/>
    <s v="West-Eve"/>
  </r>
  <r>
    <n v="1051"/>
    <x v="145"/>
    <s v="Eve"/>
    <s v="North"/>
    <n v="2479.9499999999998"/>
    <n v="8"/>
    <s v="Clothing"/>
    <n v="467.11"/>
    <n v="792.21"/>
    <s v="New"/>
    <n v="0.2"/>
    <s v="Credit Card"/>
    <s v="Online"/>
    <s v="North-Eve"/>
  </r>
  <r>
    <n v="1044"/>
    <x v="146"/>
    <s v="Charlie"/>
    <s v="North"/>
    <n v="1996.77"/>
    <n v="11"/>
    <s v="Clothing"/>
    <n v="1812.66"/>
    <n v="2196.3000000000002"/>
    <s v="New"/>
    <n v="0.08"/>
    <s v="Cash"/>
    <s v="Online"/>
    <s v="North-Charlie"/>
  </r>
  <r>
    <n v="1024"/>
    <x v="147"/>
    <s v="Eve"/>
    <s v="North"/>
    <n v="9190.57"/>
    <n v="5"/>
    <s v="Furniture"/>
    <n v="3417.9"/>
    <n v="3714.52"/>
    <s v="Returning"/>
    <n v="0.27"/>
    <s v="Credit Card"/>
    <s v="Retail"/>
    <s v="North-Eve"/>
  </r>
  <r>
    <n v="1079"/>
    <x v="148"/>
    <s v="David"/>
    <s v="North"/>
    <n v="1107.8599999999999"/>
    <n v="45"/>
    <s v="Clothing"/>
    <n v="1406.9"/>
    <n v="1547.35"/>
    <s v="New"/>
    <n v="0.17"/>
    <s v="Cash"/>
    <s v="Retail"/>
    <s v="North-David"/>
  </r>
  <r>
    <n v="1059"/>
    <x v="149"/>
    <s v="Alice"/>
    <s v="North"/>
    <n v="5108.9799999999996"/>
    <n v="37"/>
    <s v="Electronics"/>
    <n v="4146.99"/>
    <n v="4172.3499999999904"/>
    <s v="Returning"/>
    <n v="0.06"/>
    <s v="Cash"/>
    <s v="Retail"/>
    <s v="North-Alice"/>
  </r>
  <r>
    <n v="1032"/>
    <x v="106"/>
    <s v="David"/>
    <s v="North"/>
    <n v="2286.44"/>
    <n v="45"/>
    <s v="Clothing"/>
    <n v="3712.35"/>
    <n v="3780.88"/>
    <s v="New"/>
    <n v="7.0000000000000007E-2"/>
    <s v="Cash"/>
    <s v="Retail"/>
    <s v="North-David"/>
  </r>
  <r>
    <n v="1096"/>
    <x v="150"/>
    <s v="Charlie"/>
    <s v="West"/>
    <n v="485.41"/>
    <n v="38"/>
    <s v="Electronics"/>
    <n v="3955.66"/>
    <n v="4270.59"/>
    <s v="Returning"/>
    <n v="0.15"/>
    <s v="Credit Card"/>
    <s v="Online"/>
    <s v="West-Charlie"/>
  </r>
  <r>
    <n v="1088"/>
    <x v="1"/>
    <s v="Charlie"/>
    <s v="East"/>
    <n v="456.59"/>
    <n v="29"/>
    <s v="Furniture"/>
    <n v="639.58000000000004"/>
    <n v="1107.45"/>
    <s v="New"/>
    <n v="0.28999999999999998"/>
    <s v="Cash"/>
    <s v="Retail"/>
    <s v="East-Charlie"/>
  </r>
  <r>
    <n v="1052"/>
    <x v="106"/>
    <s v="David"/>
    <s v="North"/>
    <n v="1834.7"/>
    <n v="5"/>
    <s v="Furniture"/>
    <n v="745.71"/>
    <n v="856.91"/>
    <s v="Returning"/>
    <n v="0.23"/>
    <s v="Bank Transfer"/>
    <s v="Retail"/>
    <s v="North-David"/>
  </r>
  <r>
    <n v="1062"/>
    <x v="94"/>
    <s v="Eve"/>
    <s v="South"/>
    <n v="8681.0300000000007"/>
    <n v="9"/>
    <s v="Electronics"/>
    <n v="1468.05"/>
    <n v="1838.21"/>
    <s v="New"/>
    <n v="0.15"/>
    <s v="Bank Transfer"/>
    <s v="Retail"/>
    <s v="South-Eve"/>
  </r>
  <r>
    <n v="1058"/>
    <x v="151"/>
    <s v="Eve"/>
    <s v="West"/>
    <n v="2896.54"/>
    <n v="48"/>
    <s v="Clothing"/>
    <n v="2614.48"/>
    <n v="3049.04"/>
    <s v="New"/>
    <n v="0.1"/>
    <s v="Credit Card"/>
    <s v="Retail"/>
    <s v="West-Eve"/>
  </r>
  <r>
    <n v="1052"/>
    <x v="64"/>
    <s v="Charlie"/>
    <s v="West"/>
    <n v="9509.5499999999993"/>
    <n v="2"/>
    <s v="Furniture"/>
    <n v="3752.68"/>
    <n v="4017.91"/>
    <s v="Returning"/>
    <n v="0.16"/>
    <s v="Bank Transfer"/>
    <s v="Online"/>
    <s v="West-Charlie"/>
  </r>
  <r>
    <n v="1012"/>
    <x v="50"/>
    <s v="Bob"/>
    <s v="North"/>
    <n v="5858.06"/>
    <n v="1"/>
    <s v="Food"/>
    <n v="4190.83"/>
    <n v="4528.7699999999904"/>
    <s v="Returning"/>
    <n v="0.22"/>
    <s v="Bank Transfer"/>
    <s v="Online"/>
    <s v="North-Bob"/>
  </r>
  <r>
    <n v="1039"/>
    <x v="48"/>
    <s v="Eve"/>
    <s v="West"/>
    <n v="4422.4799999999996"/>
    <n v="40"/>
    <s v="Furniture"/>
    <n v="3536.46"/>
    <n v="3945.82"/>
    <s v="New"/>
    <n v="0.24"/>
    <s v="Bank Transfer"/>
    <s v="Online"/>
    <s v="West-Eve"/>
  </r>
  <r>
    <n v="1002"/>
    <x v="62"/>
    <s v="David"/>
    <s v="North"/>
    <n v="5842.88"/>
    <n v="30"/>
    <s v="Clothing"/>
    <n v="4646.55"/>
    <n v="4784.28"/>
    <s v="Returning"/>
    <n v="0.1"/>
    <s v="Credit Card"/>
    <s v="Retail"/>
    <s v="North-David"/>
  </r>
  <r>
    <n v="1003"/>
    <x v="90"/>
    <s v="Eve"/>
    <s v="East"/>
    <n v="5215.3100000000004"/>
    <n v="11"/>
    <s v="Food"/>
    <n v="3706.78"/>
    <n v="3862.26"/>
    <s v="New"/>
    <n v="0.22"/>
    <s v="Credit Card"/>
    <s v="Retail"/>
    <s v="East-Eve"/>
  </r>
  <r>
    <n v="1056"/>
    <x v="152"/>
    <s v="David"/>
    <s v="East"/>
    <n v="7611.88"/>
    <n v="28"/>
    <s v="Clothing"/>
    <n v="1566.03"/>
    <n v="1576.34"/>
    <s v="Returning"/>
    <n v="0.2"/>
    <s v="Bank Transfer"/>
    <s v="Online"/>
    <s v="East-David"/>
  </r>
  <r>
    <n v="1081"/>
    <x v="153"/>
    <s v="Charlie"/>
    <s v="West"/>
    <n v="2896.71"/>
    <n v="44"/>
    <s v="Electronics"/>
    <n v="1362.15"/>
    <n v="1844.07"/>
    <s v="New"/>
    <n v="0.28999999999999998"/>
    <s v="Credit Card"/>
    <s v="Online"/>
    <s v="West-Charlie"/>
  </r>
  <r>
    <n v="1059"/>
    <x v="154"/>
    <s v="Eve"/>
    <s v="West"/>
    <n v="3595.2"/>
    <n v="12"/>
    <s v="Food"/>
    <n v="3496.15"/>
    <n v="3955.75"/>
    <s v="Returning"/>
    <n v="0.28000000000000003"/>
    <s v="Cash"/>
    <s v="Retail"/>
    <s v="West-Eve"/>
  </r>
  <r>
    <n v="1002"/>
    <x v="155"/>
    <s v="David"/>
    <s v="South"/>
    <n v="8951.5300000000007"/>
    <n v="39"/>
    <s v="Clothing"/>
    <n v="1004.71"/>
    <n v="1389.35"/>
    <s v="New"/>
    <n v="0.24"/>
    <s v="Bank Transfer"/>
    <s v="Online"/>
    <s v="South-David"/>
  </r>
  <r>
    <n v="1002"/>
    <x v="156"/>
    <s v="Charlie"/>
    <s v="West"/>
    <n v="9469.92"/>
    <n v="26"/>
    <s v="Food"/>
    <n v="508.94"/>
    <n v="557.69000000000005"/>
    <s v="New"/>
    <n v="0.22"/>
    <s v="Credit Card"/>
    <s v="Retail"/>
    <s v="West-Charlie"/>
  </r>
  <r>
    <n v="1092"/>
    <x v="157"/>
    <s v="Bob"/>
    <s v="South"/>
    <n v="8936.33"/>
    <n v="13"/>
    <s v="Clothing"/>
    <n v="2684.5"/>
    <n v="2913.78"/>
    <s v="New"/>
    <n v="0.08"/>
    <s v="Credit Card"/>
    <s v="Retail"/>
    <s v="South-Bob"/>
  </r>
  <r>
    <n v="1054"/>
    <x v="87"/>
    <s v="David"/>
    <s v="East"/>
    <n v="4252.54"/>
    <n v="8"/>
    <s v="Food"/>
    <n v="4117.13"/>
    <n v="4177.0600000000004"/>
    <s v="Returning"/>
    <n v="0.25"/>
    <s v="Bank Transfer"/>
    <s v="Retail"/>
    <s v="East-David"/>
  </r>
  <r>
    <n v="1087"/>
    <x v="158"/>
    <s v="Bob"/>
    <s v="East"/>
    <n v="7825.62"/>
    <n v="28"/>
    <s v="Clothing"/>
    <n v="551.83000000000004"/>
    <n v="569.63"/>
    <s v="New"/>
    <n v="0.13"/>
    <s v="Credit Card"/>
    <s v="Retail"/>
    <s v="East-Bob"/>
  </r>
  <r>
    <n v="1096"/>
    <x v="159"/>
    <s v="Bob"/>
    <s v="North"/>
    <n v="4815.72"/>
    <n v="30"/>
    <s v="Electronics"/>
    <n v="3969.86"/>
    <n v="4281.79"/>
    <s v="Returning"/>
    <n v="0.08"/>
    <s v="Bank Transfer"/>
    <s v="Retail"/>
    <s v="North-Bob"/>
  </r>
  <r>
    <n v="1097"/>
    <x v="91"/>
    <s v="Alice"/>
    <s v="East"/>
    <n v="5025.6400000000003"/>
    <n v="9"/>
    <s v="Food"/>
    <n v="4067.28"/>
    <n v="4548.09"/>
    <s v="Returning"/>
    <n v="0.12"/>
    <s v="Credit Card"/>
    <s v="Retail"/>
    <s v="East-Alice"/>
  </r>
  <r>
    <n v="1001"/>
    <x v="160"/>
    <s v="Eve"/>
    <s v="South"/>
    <n v="2126.33"/>
    <n v="39"/>
    <s v="Food"/>
    <n v="2437.2600000000002"/>
    <n v="2889.67"/>
    <s v="Returning"/>
    <n v="0.25"/>
    <s v="Cash"/>
    <s v="Online"/>
    <s v="South-Eve"/>
  </r>
  <r>
    <n v="1019"/>
    <x v="146"/>
    <s v="David"/>
    <s v="West"/>
    <n v="5952.19"/>
    <n v="31"/>
    <s v="Food"/>
    <n v="333.69"/>
    <n v="685.1"/>
    <s v="New"/>
    <n v="0.04"/>
    <s v="Bank Transfer"/>
    <s v="Online"/>
    <s v="West-David"/>
  </r>
  <r>
    <n v="1002"/>
    <x v="6"/>
    <s v="Bob"/>
    <s v="North"/>
    <n v="1942.75"/>
    <n v="21"/>
    <s v="Food"/>
    <n v="914.22"/>
    <n v="971.57"/>
    <s v="Returning"/>
    <n v="0.14000000000000001"/>
    <s v="Cash"/>
    <s v="Online"/>
    <s v="North-Bob"/>
  </r>
  <r>
    <n v="1053"/>
    <x v="145"/>
    <s v="Alice"/>
    <s v="South"/>
    <n v="3382.49"/>
    <n v="47"/>
    <s v="Electronics"/>
    <n v="3551.76"/>
    <n v="3696.1"/>
    <s v="Returning"/>
    <n v="0.15"/>
    <s v="Bank Transfer"/>
    <s v="Retail"/>
    <s v="South-Alice"/>
  </r>
  <r>
    <n v="1044"/>
    <x v="161"/>
    <s v="Charlie"/>
    <s v="West"/>
    <n v="8564.7999999999993"/>
    <n v="34"/>
    <s v="Food"/>
    <n v="3573.3"/>
    <n v="3740.13"/>
    <s v="Returning"/>
    <n v="0.01"/>
    <s v="Credit Card"/>
    <s v="Online"/>
    <s v="West-Charlie"/>
  </r>
  <r>
    <n v="1090"/>
    <x v="162"/>
    <s v="David"/>
    <s v="North"/>
    <n v="2150.0500000000002"/>
    <n v="31"/>
    <s v="Furniture"/>
    <n v="4496.8599999999997"/>
    <n v="4880.7999999999902"/>
    <s v="New"/>
    <n v="0.06"/>
    <s v="Cash"/>
    <s v="Retail"/>
    <s v="North-David"/>
  </r>
  <r>
    <n v="1032"/>
    <x v="163"/>
    <s v="Bob"/>
    <s v="East"/>
    <n v="804.47"/>
    <n v="25"/>
    <s v="Electronics"/>
    <n v="2934.3"/>
    <n v="3337.4"/>
    <s v="Returning"/>
    <n v="0.25"/>
    <s v="Credit Card"/>
    <s v="Retail"/>
    <s v="East-Bob"/>
  </r>
  <r>
    <n v="1070"/>
    <x v="58"/>
    <s v="Eve"/>
    <s v="South"/>
    <n v="783.18"/>
    <n v="12"/>
    <s v="Furniture"/>
    <n v="664.33"/>
    <n v="863.03"/>
    <s v="Returning"/>
    <n v="0.25"/>
    <s v="Bank Transfer"/>
    <s v="Retail"/>
    <s v="South-Eve"/>
  </r>
  <r>
    <n v="1032"/>
    <x v="78"/>
    <s v="Alice"/>
    <s v="West"/>
    <n v="9413.77"/>
    <n v="1"/>
    <s v="Food"/>
    <n v="651"/>
    <n v="865.76"/>
    <s v="Returning"/>
    <n v="0.09"/>
    <s v="Bank Transfer"/>
    <s v="Retail"/>
    <s v="West-Alice"/>
  </r>
  <r>
    <n v="1068"/>
    <x v="164"/>
    <s v="Bob"/>
    <s v="North"/>
    <n v="5118.51"/>
    <n v="22"/>
    <s v="Clothing"/>
    <n v="3619.61"/>
    <n v="3651.42"/>
    <s v="Returning"/>
    <n v="0.26"/>
    <s v="Bank Transfer"/>
    <s v="Online"/>
    <s v="North-Bob"/>
  </r>
  <r>
    <n v="1055"/>
    <x v="165"/>
    <s v="Eve"/>
    <s v="North"/>
    <n v="4153.18"/>
    <n v="40"/>
    <s v="Furniture"/>
    <n v="959.73"/>
    <n v="1111.4100000000001"/>
    <s v="New"/>
    <n v="0.23"/>
    <s v="Bank Transfer"/>
    <s v="Online"/>
    <s v="North-Eve"/>
  </r>
  <r>
    <n v="1075"/>
    <x v="117"/>
    <s v="Bob"/>
    <s v="East"/>
    <n v="8127.7"/>
    <n v="37"/>
    <s v="Food"/>
    <n v="1675.51"/>
    <n v="1906.6399999999901"/>
    <s v="New"/>
    <n v="0.13"/>
    <s v="Bank Transfer"/>
    <s v="Online"/>
    <s v="East-Bob"/>
  </r>
  <r>
    <n v="1056"/>
    <x v="28"/>
    <s v="David"/>
    <s v="West"/>
    <n v="8374.68"/>
    <n v="47"/>
    <s v="Furniture"/>
    <n v="2461.6999999999998"/>
    <n v="2529.02"/>
    <s v="Returning"/>
    <n v="0.22"/>
    <s v="Cash"/>
    <s v="Retail"/>
    <s v="West-David"/>
  </r>
  <r>
    <n v="1017"/>
    <x v="166"/>
    <s v="David"/>
    <s v="East"/>
    <n v="3388.69"/>
    <n v="1"/>
    <s v="Food"/>
    <n v="172.59"/>
    <n v="404.69"/>
    <s v="Returning"/>
    <n v="0.28999999999999998"/>
    <s v="Bank Transfer"/>
    <s v="Online"/>
    <s v="East-David"/>
  </r>
  <r>
    <n v="1038"/>
    <x v="163"/>
    <s v="David"/>
    <s v="East"/>
    <n v="6966.82"/>
    <n v="1"/>
    <s v="Food"/>
    <n v="1281.6500000000001"/>
    <n v="1709.71"/>
    <s v="Returning"/>
    <n v="0.14000000000000001"/>
    <s v="Credit Card"/>
    <s v="Online"/>
    <s v="East-David"/>
  </r>
  <r>
    <n v="1024"/>
    <x v="167"/>
    <s v="Alice"/>
    <s v="West"/>
    <n v="7734.12"/>
    <n v="42"/>
    <s v="Food"/>
    <n v="2069.0500000000002"/>
    <n v="2363.9"/>
    <s v="Returning"/>
    <n v="7.0000000000000007E-2"/>
    <s v="Cash"/>
    <s v="Online"/>
    <s v="West-Alice"/>
  </r>
  <r>
    <n v="1069"/>
    <x v="168"/>
    <s v="David"/>
    <s v="West"/>
    <n v="6581.04"/>
    <n v="42"/>
    <s v="Clothing"/>
    <n v="1434.2"/>
    <n v="1482.88"/>
    <s v="New"/>
    <n v="0.28000000000000003"/>
    <s v="Credit Card"/>
    <s v="Retail"/>
    <s v="West-David"/>
  </r>
  <r>
    <n v="1098"/>
    <x v="96"/>
    <s v="Eve"/>
    <s v="West"/>
    <n v="1600.79"/>
    <n v="21"/>
    <s v="Furniture"/>
    <n v="725.03"/>
    <n v="828.94999999999902"/>
    <s v="New"/>
    <n v="0.18"/>
    <s v="Bank Transfer"/>
    <s v="Online"/>
    <s v="West-Eve"/>
  </r>
  <r>
    <n v="1070"/>
    <x v="113"/>
    <s v="Bob"/>
    <s v="South"/>
    <n v="8771.24"/>
    <n v="15"/>
    <s v="Electronics"/>
    <n v="3653.66"/>
    <n v="3896.19"/>
    <s v="New"/>
    <n v="0.03"/>
    <s v="Credit Card"/>
    <s v="Retail"/>
    <s v="South-Bob"/>
  </r>
  <r>
    <n v="1086"/>
    <x v="169"/>
    <s v="Charlie"/>
    <s v="West"/>
    <n v="5437.04"/>
    <n v="17"/>
    <s v="Electronics"/>
    <n v="4075.08"/>
    <n v="4262.21"/>
    <s v="New"/>
    <n v="0.17"/>
    <s v="Cash"/>
    <s v="Online"/>
    <s v="West-Charlie"/>
  </r>
  <r>
    <n v="1011"/>
    <x v="170"/>
    <s v="Eve"/>
    <s v="North"/>
    <n v="2896.48"/>
    <n v="22"/>
    <s v="Electronics"/>
    <n v="1324.52"/>
    <n v="1510.3"/>
    <s v="Returning"/>
    <n v="0.15"/>
    <s v="Cash"/>
    <s v="Retail"/>
    <s v="North-Eve"/>
  </r>
  <r>
    <n v="1016"/>
    <x v="59"/>
    <s v="Eve"/>
    <s v="East"/>
    <n v="4309.76"/>
    <n v="38"/>
    <s v="Electronics"/>
    <n v="3883.38"/>
    <n v="4152.72"/>
    <s v="Returning"/>
    <n v="0.26"/>
    <s v="Cash"/>
    <s v="Online"/>
    <s v="East-Eve"/>
  </r>
  <r>
    <n v="1097"/>
    <x v="37"/>
    <s v="David"/>
    <s v="South"/>
    <n v="471.95"/>
    <n v="35"/>
    <s v="Food"/>
    <n v="1958.49"/>
    <n v="2254.84"/>
    <s v="New"/>
    <n v="0.16"/>
    <s v="Credit Card"/>
    <s v="Online"/>
    <s v="South-David"/>
  </r>
  <r>
    <n v="1073"/>
    <x v="129"/>
    <s v="Alice"/>
    <s v="West"/>
    <n v="1365.88"/>
    <n v="45"/>
    <s v="Furniture"/>
    <n v="2558.09"/>
    <n v="2958.55"/>
    <s v="New"/>
    <n v="0.08"/>
    <s v="Cash"/>
    <s v="Online"/>
    <s v="West-Alice"/>
  </r>
  <r>
    <n v="1059"/>
    <x v="150"/>
    <s v="Bob"/>
    <s v="South"/>
    <n v="7678.91"/>
    <n v="16"/>
    <s v="Furniture"/>
    <n v="4287.21"/>
    <n v="4464.28"/>
    <s v="Returning"/>
    <n v="0.2"/>
    <s v="Credit Card"/>
    <s v="Retail"/>
    <s v="South-Bob"/>
  </r>
  <r>
    <n v="1070"/>
    <x v="171"/>
    <s v="Alice"/>
    <s v="West"/>
    <n v="100.12"/>
    <n v="8"/>
    <s v="Clothing"/>
    <n v="3762.27"/>
    <n v="4166.95"/>
    <s v="Returning"/>
    <n v="0.16"/>
    <s v="Bank Transfer"/>
    <s v="Online"/>
    <s v="West-Alice"/>
  </r>
  <r>
    <n v="1080"/>
    <x v="172"/>
    <s v="Bob"/>
    <s v="South"/>
    <n v="4224"/>
    <n v="47"/>
    <s v="Furniture"/>
    <n v="4035.33"/>
    <n v="4211.25"/>
    <s v="Returning"/>
    <n v="7.0000000000000007E-2"/>
    <s v="Bank Transfer"/>
    <s v="Online"/>
    <s v="South-Bob"/>
  </r>
  <r>
    <n v="1093"/>
    <x v="173"/>
    <s v="Bob"/>
    <s v="East"/>
    <n v="5272.85"/>
    <n v="17"/>
    <s v="Furniture"/>
    <n v="727.38"/>
    <n v="764.54"/>
    <s v="Returning"/>
    <n v="0.17"/>
    <s v="Credit Card"/>
    <s v="Retail"/>
    <s v="East-Bob"/>
  </r>
  <r>
    <n v="1003"/>
    <x v="174"/>
    <s v="Alice"/>
    <s v="East"/>
    <n v="640.88"/>
    <n v="17"/>
    <s v="Furniture"/>
    <n v="395.11"/>
    <n v="676.66"/>
    <s v="Returning"/>
    <n v="0.25"/>
    <s v="Cash"/>
    <s v="Retail"/>
    <s v="East-Alice"/>
  </r>
  <r>
    <n v="1020"/>
    <x v="175"/>
    <s v="Eve"/>
    <s v="North"/>
    <n v="9733.4699999999993"/>
    <n v="26"/>
    <s v="Clothing"/>
    <n v="4472.3500000000004"/>
    <n v="4770.42"/>
    <s v="New"/>
    <n v="0.01"/>
    <s v="Credit Card"/>
    <s v="Retail"/>
    <s v="North-Eve"/>
  </r>
  <r>
    <n v="1059"/>
    <x v="109"/>
    <s v="Bob"/>
    <s v="North"/>
    <n v="2338.64"/>
    <n v="13"/>
    <s v="Electronics"/>
    <n v="1969.78"/>
    <n v="2437.6999999999998"/>
    <s v="New"/>
    <n v="0.19"/>
    <s v="Credit Card"/>
    <s v="Retail"/>
    <s v="North-Bob"/>
  </r>
  <r>
    <n v="1036"/>
    <x v="162"/>
    <s v="Alice"/>
    <s v="West"/>
    <n v="3111.57"/>
    <n v="17"/>
    <s v="Furniture"/>
    <n v="1475"/>
    <n v="1840.77"/>
    <s v="Returning"/>
    <n v="0.1"/>
    <s v="Credit Card"/>
    <s v="Online"/>
    <s v="West-Alice"/>
  </r>
  <r>
    <n v="1019"/>
    <x v="26"/>
    <s v="Bob"/>
    <s v="East"/>
    <n v="3109.03"/>
    <n v="38"/>
    <s v="Clothing"/>
    <n v="3637.25"/>
    <n v="4096.96"/>
    <s v="Returning"/>
    <n v="0.09"/>
    <s v="Bank Transfer"/>
    <s v="Online"/>
    <s v="East-Bob"/>
  </r>
  <r>
    <n v="1090"/>
    <x v="170"/>
    <s v="Charlie"/>
    <s v="South"/>
    <n v="2381.12"/>
    <n v="17"/>
    <s v="Clothing"/>
    <n v="4190.26"/>
    <n v="4645.3500000000004"/>
    <s v="New"/>
    <n v="0.12"/>
    <s v="Credit Card"/>
    <s v="Retail"/>
    <s v="South-Charlie"/>
  </r>
  <r>
    <n v="1067"/>
    <x v="8"/>
    <s v="Eve"/>
    <s v="South"/>
    <n v="114.59"/>
    <n v="48"/>
    <s v="Food"/>
    <n v="4319.32"/>
    <n v="4625.5599999999904"/>
    <s v="Returning"/>
    <n v="0.1"/>
    <s v="Bank Transfer"/>
    <s v="Online"/>
    <s v="South-Eve"/>
  </r>
  <r>
    <n v="1019"/>
    <x v="18"/>
    <s v="David"/>
    <s v="South"/>
    <n v="7320.51"/>
    <n v="14"/>
    <s v="Clothing"/>
    <n v="1614.19"/>
    <n v="1882.79"/>
    <s v="New"/>
    <n v="0.25"/>
    <s v="Credit Card"/>
    <s v="Retail"/>
    <s v="South-David"/>
  </r>
  <r>
    <n v="1020"/>
    <x v="176"/>
    <s v="Bob"/>
    <s v="North"/>
    <n v="9671.77"/>
    <n v="45"/>
    <s v="Electronics"/>
    <n v="4268.45"/>
    <n v="4551.5999999999904"/>
    <s v="New"/>
    <n v="0.08"/>
    <s v="Bank Transfer"/>
    <s v="Online"/>
    <s v="North-Bob"/>
  </r>
  <r>
    <n v="1096"/>
    <x v="67"/>
    <s v="Charlie"/>
    <s v="South"/>
    <n v="2320.5100000000002"/>
    <n v="6"/>
    <s v="Furniture"/>
    <n v="252.62"/>
    <n v="742"/>
    <s v="New"/>
    <n v="0.22"/>
    <s v="Credit Card"/>
    <s v="Retail"/>
    <s v="South-Charlie"/>
  </r>
  <r>
    <n v="1071"/>
    <x v="177"/>
    <s v="David"/>
    <s v="North"/>
    <n v="6664.17"/>
    <n v="35"/>
    <s v="Clothing"/>
    <n v="295.82"/>
    <n v="684.67"/>
    <s v="New"/>
    <n v="0.03"/>
    <s v="Credit Card"/>
    <s v="Online"/>
    <s v="North-David"/>
  </r>
  <r>
    <n v="1052"/>
    <x v="178"/>
    <s v="David"/>
    <s v="North"/>
    <n v="7444.77"/>
    <n v="46"/>
    <s v="Electronics"/>
    <n v="3136.42"/>
    <n v="3198.49"/>
    <s v="Returning"/>
    <n v="0.28999999999999998"/>
    <s v="Cash"/>
    <s v="Retail"/>
    <s v="North-David"/>
  </r>
  <r>
    <n v="1033"/>
    <x v="113"/>
    <s v="Bob"/>
    <s v="West"/>
    <n v="8499.41"/>
    <n v="14"/>
    <s v="Clothing"/>
    <n v="362.38"/>
    <n v="753.81"/>
    <s v="Returning"/>
    <n v="0.19"/>
    <s v="Cash"/>
    <s v="Retail"/>
    <s v="West-Bob"/>
  </r>
  <r>
    <n v="1040"/>
    <x v="16"/>
    <s v="Alice"/>
    <s v="South"/>
    <n v="4284.03"/>
    <n v="47"/>
    <s v="Clothing"/>
    <n v="1656.82"/>
    <n v="1750.3799999999901"/>
    <s v="New"/>
    <n v="0.21"/>
    <s v="Credit Card"/>
    <s v="Online"/>
    <s v="South-Alice"/>
  </r>
  <r>
    <n v="1039"/>
    <x v="168"/>
    <s v="Bob"/>
    <s v="South"/>
    <n v="3099.02"/>
    <n v="8"/>
    <s v="Clothing"/>
    <n v="3380.14"/>
    <n v="3609.3399999999901"/>
    <s v="Returning"/>
    <n v="0.09"/>
    <s v="Credit Card"/>
    <s v="Online"/>
    <s v="South-Bob"/>
  </r>
  <r>
    <n v="1082"/>
    <x v="179"/>
    <s v="Charlie"/>
    <s v="East"/>
    <n v="3320.42"/>
    <n v="15"/>
    <s v="Clothing"/>
    <n v="1719.47"/>
    <n v="1832.6"/>
    <s v="Returning"/>
    <n v="0.12"/>
    <s v="Credit Card"/>
    <s v="Online"/>
    <s v="East-Charlie"/>
  </r>
  <r>
    <n v="1001"/>
    <x v="180"/>
    <s v="David"/>
    <s v="West"/>
    <n v="7154.95"/>
    <n v="27"/>
    <s v="Clothing"/>
    <n v="939.02"/>
    <n v="1286.92"/>
    <s v="Returning"/>
    <n v="7.0000000000000007E-2"/>
    <s v="Credit Card"/>
    <s v="Retail"/>
    <s v="West-David"/>
  </r>
  <r>
    <n v="1011"/>
    <x v="181"/>
    <s v="Bob"/>
    <s v="East"/>
    <n v="8186.12"/>
    <n v="13"/>
    <s v="Electronics"/>
    <n v="1442.69"/>
    <n v="1882.57"/>
    <s v="Returning"/>
    <n v="0.28000000000000003"/>
    <s v="Cash"/>
    <s v="Online"/>
    <s v="East-Bob"/>
  </r>
  <r>
    <n v="1092"/>
    <x v="76"/>
    <s v="Alice"/>
    <s v="West"/>
    <n v="1897.98"/>
    <n v="49"/>
    <s v="Furniture"/>
    <n v="2315"/>
    <n v="2467.2800000000002"/>
    <s v="New"/>
    <n v="0.15"/>
    <s v="Bank Transfer"/>
    <s v="Retail"/>
    <s v="West-Alice"/>
  </r>
  <r>
    <n v="1057"/>
    <x v="92"/>
    <s v="Bob"/>
    <s v="South"/>
    <n v="3772.32"/>
    <n v="31"/>
    <s v="Furniture"/>
    <n v="2403.16"/>
    <n v="2453.35"/>
    <s v="Returning"/>
    <n v="0.19"/>
    <s v="Credit Card"/>
    <s v="Online"/>
    <s v="South-Bob"/>
  </r>
  <r>
    <n v="1089"/>
    <x v="177"/>
    <s v="Eve"/>
    <s v="North"/>
    <n v="9029.2099999999991"/>
    <n v="35"/>
    <s v="Furniture"/>
    <n v="3925.85"/>
    <n v="4082.1099999999901"/>
    <s v="New"/>
    <n v="0.22"/>
    <s v="Cash"/>
    <s v="Online"/>
    <s v="North-Eve"/>
  </r>
  <r>
    <n v="1050"/>
    <x v="141"/>
    <s v="Alice"/>
    <s v="North"/>
    <n v="8086.27"/>
    <n v="6"/>
    <s v="Furniture"/>
    <n v="3763.26"/>
    <n v="4102.72"/>
    <s v="New"/>
    <n v="0.11"/>
    <s v="Credit Card"/>
    <s v="Retail"/>
    <s v="North-Alice"/>
  </r>
  <r>
    <n v="1023"/>
    <x v="40"/>
    <s v="Charlie"/>
    <s v="North"/>
    <n v="9850.1"/>
    <n v="5"/>
    <s v="Electronics"/>
    <n v="2311.25"/>
    <n v="2482.34"/>
    <s v="Returning"/>
    <n v="0.22"/>
    <s v="Credit Card"/>
    <s v="Retail"/>
    <s v="North-Charlie"/>
  </r>
  <r>
    <n v="1031"/>
    <x v="182"/>
    <s v="David"/>
    <s v="North"/>
    <n v="7567.06"/>
    <n v="22"/>
    <s v="Food"/>
    <n v="4236.05"/>
    <n v="4382.32"/>
    <s v="New"/>
    <n v="0.2"/>
    <s v="Bank Transfer"/>
    <s v="Online"/>
    <s v="North-David"/>
  </r>
  <r>
    <n v="1094"/>
    <x v="113"/>
    <s v="Bob"/>
    <s v="North"/>
    <n v="3992.63"/>
    <n v="49"/>
    <s v="Food"/>
    <n v="615.47"/>
    <n v="715.84"/>
    <s v="Returning"/>
    <n v="0.21"/>
    <s v="Credit Card"/>
    <s v="Retail"/>
    <s v="North-Bob"/>
  </r>
  <r>
    <n v="1042"/>
    <x v="183"/>
    <s v="Alice"/>
    <s v="East"/>
    <n v="5947.31"/>
    <n v="23"/>
    <s v="Electronics"/>
    <n v="1314"/>
    <n v="1567.78"/>
    <s v="Returning"/>
    <n v="0.15"/>
    <s v="Credit Card"/>
    <s v="Retail"/>
    <s v="East-Alice"/>
  </r>
  <r>
    <n v="1099"/>
    <x v="143"/>
    <s v="Eve"/>
    <s v="West"/>
    <n v="6644.04"/>
    <n v="25"/>
    <s v="Electronics"/>
    <n v="4148.4799999999996"/>
    <n v="4293.6899999999996"/>
    <s v="New"/>
    <n v="0.11"/>
    <s v="Bank Transfer"/>
    <s v="Online"/>
    <s v="West-Eve"/>
  </r>
  <r>
    <n v="1007"/>
    <x v="180"/>
    <s v="Alice"/>
    <s v="South"/>
    <n v="876.71"/>
    <n v="34"/>
    <s v="Clothing"/>
    <n v="1921.07"/>
    <n v="2289.27"/>
    <s v="Returning"/>
    <n v="7.0000000000000007E-2"/>
    <s v="Bank Transfer"/>
    <s v="Retail"/>
    <s v="South-Alice"/>
  </r>
  <r>
    <n v="1016"/>
    <x v="184"/>
    <s v="Eve"/>
    <s v="East"/>
    <n v="5490.52"/>
    <n v="26"/>
    <s v="Clothing"/>
    <n v="4906.8500000000004"/>
    <n v="4954.3900000000003"/>
    <s v="New"/>
    <n v="0.25"/>
    <s v="Bank Transfer"/>
    <s v="Online"/>
    <s v="East-Eve"/>
  </r>
  <r>
    <n v="1090"/>
    <x v="160"/>
    <s v="Charlie"/>
    <s v="West"/>
    <n v="7122.28"/>
    <n v="47"/>
    <s v="Clothing"/>
    <n v="2357.9499999999998"/>
    <n v="2693.33"/>
    <s v="New"/>
    <n v="0.18"/>
    <s v="Bank Transfer"/>
    <s v="Online"/>
    <s v="West-Charlie"/>
  </r>
  <r>
    <n v="1060"/>
    <x v="185"/>
    <s v="David"/>
    <s v="North"/>
    <n v="1756.48"/>
    <n v="5"/>
    <s v="Furniture"/>
    <n v="3970.08"/>
    <n v="4096.4799999999996"/>
    <s v="Returning"/>
    <n v="0.13"/>
    <s v="Cash"/>
    <s v="Retail"/>
    <s v="North-David"/>
  </r>
  <r>
    <n v="1002"/>
    <x v="149"/>
    <s v="Charlie"/>
    <s v="West"/>
    <n v="7828.25"/>
    <n v="26"/>
    <s v="Clothing"/>
    <n v="2041.42"/>
    <n v="2291.17"/>
    <s v="Returning"/>
    <n v="0.28000000000000003"/>
    <s v="Cash"/>
    <s v="Online"/>
    <s v="West-Charlie"/>
  </r>
  <r>
    <n v="1001"/>
    <x v="186"/>
    <s v="Bob"/>
    <s v="West"/>
    <n v="5879.35"/>
    <n v="20"/>
    <s v="Food"/>
    <n v="2153.52"/>
    <n v="2303.6999999999998"/>
    <s v="Returning"/>
    <n v="0.01"/>
    <s v="Cash"/>
    <s v="Retail"/>
    <s v="West-Bob"/>
  </r>
  <r>
    <n v="1048"/>
    <x v="187"/>
    <s v="Alice"/>
    <s v="North"/>
    <n v="9527"/>
    <n v="6"/>
    <s v="Furniture"/>
    <n v="1945.27"/>
    <n v="2309.4299999999998"/>
    <s v="New"/>
    <n v="0.26"/>
    <s v="Credit Card"/>
    <s v="Online"/>
    <s v="North-Alice"/>
  </r>
  <r>
    <n v="1012"/>
    <x v="24"/>
    <s v="Eve"/>
    <s v="North"/>
    <n v="519.98"/>
    <n v="6"/>
    <s v="Clothing"/>
    <n v="3609.42"/>
    <n v="4082.62"/>
    <s v="Returning"/>
    <n v="0.3"/>
    <s v="Bank Transfer"/>
    <s v="Retail"/>
    <s v="North-Eve"/>
  </r>
  <r>
    <n v="1069"/>
    <x v="188"/>
    <s v="Eve"/>
    <s v="North"/>
    <n v="2726.73"/>
    <n v="18"/>
    <s v="Furniture"/>
    <n v="2760.21"/>
    <n v="3219.58"/>
    <s v="New"/>
    <n v="0.27"/>
    <s v="Bank Transfer"/>
    <s v="Retail"/>
    <s v="North-Eve"/>
  </r>
  <r>
    <n v="1037"/>
    <x v="189"/>
    <s v="Alice"/>
    <s v="South"/>
    <n v="6055.38"/>
    <n v="4"/>
    <s v="Food"/>
    <n v="4721.7"/>
    <n v="5017.58"/>
    <s v="New"/>
    <n v="0.24"/>
    <s v="Cash"/>
    <s v="Retail"/>
    <s v="South-Alice"/>
  </r>
  <r>
    <n v="1032"/>
    <x v="178"/>
    <s v="Alice"/>
    <s v="North"/>
    <n v="3035.94"/>
    <n v="17"/>
    <s v="Clothing"/>
    <n v="1291.9100000000001"/>
    <n v="1528.59"/>
    <s v="Returning"/>
    <n v="0.11"/>
    <s v="Credit Card"/>
    <s v="Retail"/>
    <s v="North-Alice"/>
  </r>
  <r>
    <n v="1009"/>
    <x v="82"/>
    <s v="Bob"/>
    <s v="South"/>
    <n v="7172.8"/>
    <n v="14"/>
    <s v="Food"/>
    <n v="547.79"/>
    <n v="958.76"/>
    <s v="Returning"/>
    <n v="7.0000000000000007E-2"/>
    <s v="Credit Card"/>
    <s v="Retail"/>
    <s v="South-Bob"/>
  </r>
  <r>
    <n v="1099"/>
    <x v="95"/>
    <s v="Charlie"/>
    <s v="North"/>
    <n v="7614.15"/>
    <n v="14"/>
    <s v="Food"/>
    <n v="1996.64"/>
    <n v="2341.4699999999998"/>
    <s v="Returning"/>
    <n v="0.22"/>
    <s v="Credit Card"/>
    <s v="Online"/>
    <s v="North-Charlie"/>
  </r>
  <r>
    <n v="1019"/>
    <x v="190"/>
    <s v="Eve"/>
    <s v="South"/>
    <n v="1114.9100000000001"/>
    <n v="13"/>
    <s v="Food"/>
    <n v="3102.73"/>
    <n v="3202.68"/>
    <s v="New"/>
    <n v="0.09"/>
    <s v="Cash"/>
    <s v="Online"/>
    <s v="South-Eve"/>
  </r>
  <r>
    <n v="1048"/>
    <x v="191"/>
    <s v="Bob"/>
    <s v="West"/>
    <n v="5187.16"/>
    <n v="7"/>
    <s v="Clothing"/>
    <n v="4310.95"/>
    <n v="4723.2"/>
    <s v="Returning"/>
    <n v="0.05"/>
    <s v="Credit Card"/>
    <s v="Retail"/>
    <s v="West-Bob"/>
  </r>
  <r>
    <n v="1080"/>
    <x v="192"/>
    <s v="Charlie"/>
    <s v="East"/>
    <n v="5138.0200000000004"/>
    <n v="44"/>
    <s v="Electronics"/>
    <n v="1763.67"/>
    <n v="1983.82"/>
    <s v="New"/>
    <n v="0.24"/>
    <s v="Credit Card"/>
    <s v="Online"/>
    <s v="East-Charlie"/>
  </r>
  <r>
    <n v="1003"/>
    <x v="160"/>
    <s v="Bob"/>
    <s v="West"/>
    <n v="3755.88"/>
    <n v="15"/>
    <s v="Clothing"/>
    <n v="3286.24"/>
    <n v="3388.8399999999901"/>
    <s v="Returning"/>
    <n v="0.09"/>
    <s v="Credit Card"/>
    <s v="Retail"/>
    <s v="West-Bob"/>
  </r>
  <r>
    <n v="1020"/>
    <x v="101"/>
    <s v="Eve"/>
    <s v="West"/>
    <n v="9335.9599999999991"/>
    <n v="19"/>
    <s v="Food"/>
    <n v="1783.48"/>
    <n v="1931.56"/>
    <s v="Returning"/>
    <n v="0.27"/>
    <s v="Bank Transfer"/>
    <s v="Retail"/>
    <s v="West-Eve"/>
  </r>
  <r>
    <n v="1024"/>
    <x v="193"/>
    <s v="Alice"/>
    <s v="North"/>
    <n v="8292.31"/>
    <n v="43"/>
    <s v="Clothing"/>
    <n v="3105.24"/>
    <n v="3246.33"/>
    <s v="New"/>
    <n v="0.25"/>
    <s v="Cash"/>
    <s v="Online"/>
    <s v="North-Alice"/>
  </r>
  <r>
    <n v="1054"/>
    <x v="43"/>
    <s v="Alice"/>
    <s v="South"/>
    <n v="7002.37"/>
    <n v="47"/>
    <s v="Food"/>
    <n v="4429.8"/>
    <n v="4694.21"/>
    <s v="New"/>
    <n v="0.25"/>
    <s v="Bank Transfer"/>
    <s v="Online"/>
    <s v="South-Alice"/>
  </r>
  <r>
    <n v="1033"/>
    <x v="55"/>
    <s v="Charlie"/>
    <s v="East"/>
    <n v="7171.83"/>
    <n v="44"/>
    <s v="Electronics"/>
    <n v="1195.22"/>
    <n v="1320.06"/>
    <s v="Returning"/>
    <n v="0.23"/>
    <s v="Bank Transfer"/>
    <s v="Retail"/>
    <s v="East-Charlie"/>
  </r>
  <r>
    <n v="1024"/>
    <x v="194"/>
    <s v="David"/>
    <s v="North"/>
    <n v="4670.99"/>
    <n v="35"/>
    <s v="Furniture"/>
    <n v="2051"/>
    <n v="2121.5500000000002"/>
    <s v="Returning"/>
    <n v="0.26"/>
    <s v="Cash"/>
    <s v="Retail"/>
    <s v="North-David"/>
  </r>
  <r>
    <n v="1075"/>
    <x v="195"/>
    <s v="Charlie"/>
    <s v="North"/>
    <n v="9217.85"/>
    <n v="17"/>
    <s v="Electronics"/>
    <n v="4966.66"/>
    <n v="5037.2699999999904"/>
    <s v="Returning"/>
    <n v="0.24"/>
    <s v="Bank Transfer"/>
    <s v="Retail"/>
    <s v="North-Charlie"/>
  </r>
  <r>
    <n v="1072"/>
    <x v="196"/>
    <s v="David"/>
    <s v="North"/>
    <n v="6976.49"/>
    <n v="35"/>
    <s v="Electronics"/>
    <n v="4349.3599999999997"/>
    <n v="4645.17"/>
    <s v="Returning"/>
    <n v="0.18"/>
    <s v="Credit Card"/>
    <s v="Retail"/>
    <s v="North-David"/>
  </r>
  <r>
    <n v="1036"/>
    <x v="78"/>
    <s v="Bob"/>
    <s v="West"/>
    <n v="7316.91"/>
    <n v="19"/>
    <s v="Furniture"/>
    <n v="2844.97"/>
    <n v="3215"/>
    <s v="Returning"/>
    <n v="0.09"/>
    <s v="Credit Card"/>
    <s v="Retail"/>
    <s v="West-Bob"/>
  </r>
  <r>
    <n v="1038"/>
    <x v="102"/>
    <s v="Bob"/>
    <s v="South"/>
    <n v="8630.74"/>
    <n v="20"/>
    <s v="Clothing"/>
    <n v="2607.31"/>
    <n v="2774.86"/>
    <s v="New"/>
    <n v="0.27"/>
    <s v="Credit Card"/>
    <s v="Retail"/>
    <s v="South-Bob"/>
  </r>
  <r>
    <n v="1084"/>
    <x v="2"/>
    <s v="Eve"/>
    <s v="South"/>
    <n v="2813.31"/>
    <n v="36"/>
    <s v="Furniture"/>
    <n v="1458.77"/>
    <n v="1485.75"/>
    <s v="New"/>
    <n v="0.25"/>
    <s v="Credit Card"/>
    <s v="Online"/>
    <s v="South-Eve"/>
  </r>
  <r>
    <n v="1099"/>
    <x v="164"/>
    <s v="David"/>
    <s v="East"/>
    <n v="8090"/>
    <n v="35"/>
    <s v="Clothing"/>
    <n v="2610.19"/>
    <n v="2682.53"/>
    <s v="New"/>
    <n v="0.14000000000000001"/>
    <s v="Cash"/>
    <s v="Retail"/>
    <s v="East-David"/>
  </r>
  <r>
    <n v="1089"/>
    <x v="197"/>
    <s v="Eve"/>
    <s v="South"/>
    <n v="2032.88"/>
    <n v="32"/>
    <s v="Clothing"/>
    <n v="4248.5"/>
    <n v="4706.7"/>
    <s v="New"/>
    <n v="0.01"/>
    <s v="Bank Transfer"/>
    <s v="Retail"/>
    <s v="South-Eve"/>
  </r>
  <r>
    <n v="1099"/>
    <x v="198"/>
    <s v="Alice"/>
    <s v="South"/>
    <n v="3518.89"/>
    <n v="48"/>
    <s v="Food"/>
    <n v="3441.61"/>
    <n v="3693.45"/>
    <s v="Returning"/>
    <n v="0.19"/>
    <s v="Bank Transfer"/>
    <s v="Online"/>
    <s v="South-Alice"/>
  </r>
  <r>
    <n v="1025"/>
    <x v="108"/>
    <s v="David"/>
    <s v="North"/>
    <n v="3422.54"/>
    <n v="44"/>
    <s v="Food"/>
    <n v="1485.72"/>
    <n v="1717.97"/>
    <s v="New"/>
    <n v="0.02"/>
    <s v="Credit Card"/>
    <s v="Retail"/>
    <s v="North-David"/>
  </r>
  <r>
    <n v="1093"/>
    <x v="199"/>
    <s v="Charlie"/>
    <s v="North"/>
    <n v="9787.4"/>
    <n v="40"/>
    <s v="Furniture"/>
    <n v="1047.25"/>
    <n v="1075.8900000000001"/>
    <s v="New"/>
    <n v="0.28000000000000003"/>
    <s v="Credit Card"/>
    <s v="Retail"/>
    <s v="North-Charlie"/>
  </r>
  <r>
    <n v="1018"/>
    <x v="200"/>
    <s v="Alice"/>
    <s v="West"/>
    <n v="8579.7199999999993"/>
    <n v="24"/>
    <s v="Electronics"/>
    <n v="1362.78"/>
    <n v="1729.81"/>
    <s v="New"/>
    <n v="0.28999999999999998"/>
    <s v="Bank Transfer"/>
    <s v="Online"/>
    <s v="West-Alice"/>
  </r>
  <r>
    <n v="1082"/>
    <x v="201"/>
    <s v="Alice"/>
    <s v="North"/>
    <n v="7041.58"/>
    <n v="17"/>
    <s v="Furniture"/>
    <n v="890.31"/>
    <n v="1159.06"/>
    <s v="Returning"/>
    <n v="0.06"/>
    <s v="Cash"/>
    <s v="Retail"/>
    <s v="North-Alice"/>
  </r>
  <r>
    <n v="1066"/>
    <x v="202"/>
    <s v="Charlie"/>
    <s v="North"/>
    <n v="7297.86"/>
    <n v="7"/>
    <s v="Clothing"/>
    <n v="523.41999999999996"/>
    <n v="632.43999999999903"/>
    <s v="New"/>
    <n v="0.2"/>
    <s v="Bank Transfer"/>
    <s v="Online"/>
    <s v="North-Charlie"/>
  </r>
  <r>
    <n v="1054"/>
    <x v="164"/>
    <s v="Alice"/>
    <s v="North"/>
    <n v="5664.52"/>
    <n v="43"/>
    <s v="Food"/>
    <n v="2124.7199999999998"/>
    <n v="2188.66"/>
    <s v="Returning"/>
    <n v="0.03"/>
    <s v="Credit Card"/>
    <s v="Retail"/>
    <s v="North-Alice"/>
  </r>
  <r>
    <n v="1035"/>
    <x v="108"/>
    <s v="David"/>
    <s v="North"/>
    <n v="9476.2000000000007"/>
    <n v="1"/>
    <s v="Furniture"/>
    <n v="610.83000000000004"/>
    <n v="808.69"/>
    <s v="New"/>
    <n v="0.22"/>
    <s v="Credit Card"/>
    <s v="Online"/>
    <s v="North-David"/>
  </r>
  <r>
    <n v="1080"/>
    <x v="68"/>
    <s v="Eve"/>
    <s v="West"/>
    <n v="5012.96"/>
    <n v="35"/>
    <s v="Furniture"/>
    <n v="900.97"/>
    <n v="1321.18"/>
    <s v="Returning"/>
    <n v="0.1"/>
    <s v="Cash"/>
    <s v="Online"/>
    <s v="West-Eve"/>
  </r>
  <r>
    <n v="1061"/>
    <x v="89"/>
    <s v="Alice"/>
    <s v="North"/>
    <n v="3867.13"/>
    <n v="32"/>
    <s v="Food"/>
    <n v="2759.26"/>
    <n v="3193.25"/>
    <s v="New"/>
    <n v="0.2"/>
    <s v="Bank Transfer"/>
    <s v="Online"/>
    <s v="North-Alice"/>
  </r>
  <r>
    <n v="1041"/>
    <x v="203"/>
    <s v="David"/>
    <s v="East"/>
    <n v="1714.05"/>
    <n v="36"/>
    <s v="Food"/>
    <n v="864.77"/>
    <n v="1170.1599999999901"/>
    <s v="Returning"/>
    <n v="0.11"/>
    <s v="Cash"/>
    <s v="Retail"/>
    <s v="East-David"/>
  </r>
  <r>
    <n v="1100"/>
    <x v="77"/>
    <s v="Bob"/>
    <s v="East"/>
    <n v="7883.44"/>
    <n v="13"/>
    <s v="Food"/>
    <n v="366.2"/>
    <n v="732.69"/>
    <s v="New"/>
    <n v="0.04"/>
    <s v="Cash"/>
    <s v="Retail"/>
    <s v="East-Bob"/>
  </r>
  <r>
    <n v="1033"/>
    <x v="163"/>
    <s v="David"/>
    <s v="East"/>
    <n v="7370.99"/>
    <n v="6"/>
    <s v="Clothing"/>
    <n v="1621.07"/>
    <n v="1687.5"/>
    <s v="Returning"/>
    <n v="0.12"/>
    <s v="Credit Card"/>
    <s v="Online"/>
    <s v="East-David"/>
  </r>
  <r>
    <n v="1068"/>
    <x v="29"/>
    <s v="Eve"/>
    <s v="East"/>
    <n v="3905.11"/>
    <n v="14"/>
    <s v="Food"/>
    <n v="1140.58"/>
    <n v="1438.76"/>
    <s v="Returning"/>
    <n v="0.03"/>
    <s v="Bank Transfer"/>
    <s v="Online"/>
    <s v="East-Eve"/>
  </r>
  <r>
    <n v="1033"/>
    <x v="204"/>
    <s v="David"/>
    <s v="North"/>
    <n v="349.41"/>
    <n v="37"/>
    <s v="Electronics"/>
    <n v="2600.7600000000002"/>
    <n v="2937.57"/>
    <s v="New"/>
    <n v="0.17"/>
    <s v="Credit Card"/>
    <s v="Retail"/>
    <s v="North-David"/>
  </r>
  <r>
    <n v="1014"/>
    <x v="205"/>
    <s v="Charlie"/>
    <s v="East"/>
    <n v="8406.07"/>
    <n v="48"/>
    <s v="Furniture"/>
    <n v="556.72"/>
    <n v="665.07"/>
    <s v="Returning"/>
    <n v="0.01"/>
    <s v="Bank Transfer"/>
    <s v="Retail"/>
    <s v="East-Charlie"/>
  </r>
  <r>
    <n v="1021"/>
    <x v="90"/>
    <s v="Eve"/>
    <s v="North"/>
    <n v="213.04"/>
    <n v="15"/>
    <s v="Food"/>
    <n v="3771.27"/>
    <n v="4212.55"/>
    <s v="Returning"/>
    <n v="0.16"/>
    <s v="Credit Card"/>
    <s v="Retail"/>
    <s v="North-Eve"/>
  </r>
  <r>
    <n v="1048"/>
    <x v="206"/>
    <s v="Bob"/>
    <s v="West"/>
    <n v="7066.63"/>
    <n v="47"/>
    <s v="Food"/>
    <n v="4535.8599999999997"/>
    <n v="4641.41"/>
    <s v="New"/>
    <n v="0.27"/>
    <s v="Credit Card"/>
    <s v="Retail"/>
    <s v="West-Bob"/>
  </r>
  <r>
    <n v="1020"/>
    <x v="207"/>
    <s v="Charlie"/>
    <s v="East"/>
    <n v="9705.5499999999993"/>
    <n v="4"/>
    <s v="Clothing"/>
    <n v="3730"/>
    <n v="3893.6"/>
    <s v="New"/>
    <n v="0.25"/>
    <s v="Bank Transfer"/>
    <s v="Retail"/>
    <s v="East-Charlie"/>
  </r>
  <r>
    <n v="1008"/>
    <x v="208"/>
    <s v="David"/>
    <s v="South"/>
    <n v="4432.8500000000004"/>
    <n v="40"/>
    <s v="Clothing"/>
    <n v="2687.49"/>
    <n v="3001.56"/>
    <s v="Returning"/>
    <n v="0.26"/>
    <s v="Bank Transfer"/>
    <s v="Online"/>
    <s v="South-David"/>
  </r>
  <r>
    <n v="1007"/>
    <x v="14"/>
    <s v="Eve"/>
    <s v="East"/>
    <n v="2426.2399999999998"/>
    <n v="16"/>
    <s v="Furniture"/>
    <n v="4310.3100000000004"/>
    <n v="4633.1000000000004"/>
    <s v="New"/>
    <n v="0.28000000000000003"/>
    <s v="Credit Card"/>
    <s v="Retail"/>
    <s v="East-Eve"/>
  </r>
  <r>
    <n v="1067"/>
    <x v="119"/>
    <s v="Bob"/>
    <s v="East"/>
    <n v="7078.22"/>
    <n v="28"/>
    <s v="Electronics"/>
    <n v="3489.85"/>
    <n v="3842.5499999999902"/>
    <s v="New"/>
    <n v="0.03"/>
    <s v="Bank Transfer"/>
    <s v="Online"/>
    <s v="East-Bob"/>
  </r>
  <r>
    <n v="1017"/>
    <x v="156"/>
    <s v="Charlie"/>
    <s v="North"/>
    <n v="8189.57"/>
    <n v="16"/>
    <s v="Furniture"/>
    <n v="102.23"/>
    <n v="167.12"/>
    <s v="New"/>
    <n v="0.04"/>
    <s v="Credit Card"/>
    <s v="Retail"/>
    <s v="North-Charlie"/>
  </r>
  <r>
    <n v="1033"/>
    <x v="123"/>
    <s v="Bob"/>
    <s v="East"/>
    <n v="5509.66"/>
    <n v="4"/>
    <s v="Food"/>
    <n v="2000.75"/>
    <n v="2426.9899999999998"/>
    <s v="Returning"/>
    <n v="0.17"/>
    <s v="Bank Transfer"/>
    <s v="Online"/>
    <s v="East-Bob"/>
  </r>
  <r>
    <n v="1048"/>
    <x v="154"/>
    <s v="David"/>
    <s v="South"/>
    <n v="9673.65"/>
    <n v="45"/>
    <s v="Electronics"/>
    <n v="4262.21"/>
    <n v="4533.3100000000004"/>
    <s v="Returning"/>
    <n v="0.27"/>
    <s v="Credit Card"/>
    <s v="Online"/>
    <s v="South-David"/>
  </r>
  <r>
    <n v="1076"/>
    <x v="2"/>
    <s v="Bob"/>
    <s v="North"/>
    <n v="611.52"/>
    <n v="26"/>
    <s v="Electronics"/>
    <n v="1762"/>
    <n v="2002.95"/>
    <s v="Returning"/>
    <n v="0.28999999999999998"/>
    <s v="Credit Card"/>
    <s v="Retail"/>
    <s v="North-Bob"/>
  </r>
  <r>
    <n v="1059"/>
    <x v="96"/>
    <s v="Alice"/>
    <s v="North"/>
    <n v="5097.4799999999996"/>
    <n v="28"/>
    <s v="Electronics"/>
    <n v="224.32"/>
    <n v="715.06"/>
    <s v="Returning"/>
    <n v="0.01"/>
    <s v="Credit Card"/>
    <s v="Online"/>
    <s v="North-Alice"/>
  </r>
  <r>
    <n v="1086"/>
    <x v="209"/>
    <s v="Charlie"/>
    <s v="West"/>
    <n v="7212.69"/>
    <n v="32"/>
    <s v="Electronics"/>
    <n v="3743.59"/>
    <n v="4116.38"/>
    <s v="Returning"/>
    <n v="0.11"/>
    <s v="Cash"/>
    <s v="Online"/>
    <s v="West-Charlie"/>
  </r>
  <r>
    <n v="1022"/>
    <x v="210"/>
    <s v="Bob"/>
    <s v="West"/>
    <n v="8640.14"/>
    <n v="45"/>
    <s v="Furniture"/>
    <n v="4020.09"/>
    <n v="4087.91"/>
    <s v="Returning"/>
    <n v="0.06"/>
    <s v="Bank Transfer"/>
    <s v="Online"/>
    <s v="West-Bob"/>
  </r>
  <r>
    <n v="1030"/>
    <x v="101"/>
    <s v="David"/>
    <s v="East"/>
    <n v="1874.63"/>
    <n v="2"/>
    <s v="Clothing"/>
    <n v="844.94"/>
    <n v="1225.6400000000001"/>
    <s v="Returning"/>
    <n v="0.23"/>
    <s v="Credit Card"/>
    <s v="Online"/>
    <s v="East-David"/>
  </r>
  <r>
    <n v="1038"/>
    <x v="108"/>
    <s v="David"/>
    <s v="West"/>
    <n v="8020.03"/>
    <n v="31"/>
    <s v="Clothing"/>
    <n v="2709.84"/>
    <n v="2766.51"/>
    <s v="New"/>
    <n v="0.19"/>
    <s v="Cash"/>
    <s v="Retail"/>
    <s v="West-David"/>
  </r>
  <r>
    <n v="1051"/>
    <x v="211"/>
    <s v="Bob"/>
    <s v="West"/>
    <n v="5571.8"/>
    <n v="3"/>
    <s v="Food"/>
    <n v="1000.18"/>
    <n v="1023.64"/>
    <s v="Returning"/>
    <n v="0.04"/>
    <s v="Credit Card"/>
    <s v="Online"/>
    <s v="West-Bob"/>
  </r>
  <r>
    <n v="1054"/>
    <x v="146"/>
    <s v="David"/>
    <s v="West"/>
    <n v="4025.88"/>
    <n v="8"/>
    <s v="Clothing"/>
    <n v="3610.21"/>
    <n v="3817.99"/>
    <s v="Returning"/>
    <n v="0.15"/>
    <s v="Cash"/>
    <s v="Retail"/>
    <s v="West-David"/>
  </r>
  <r>
    <n v="1008"/>
    <x v="98"/>
    <s v="Eve"/>
    <s v="North"/>
    <n v="1403.98"/>
    <n v="24"/>
    <s v="Clothing"/>
    <n v="1394.17"/>
    <n v="1891.02"/>
    <s v="New"/>
    <n v="0.21"/>
    <s v="Credit Card"/>
    <s v="Online"/>
    <s v="North-Eve"/>
  </r>
  <r>
    <n v="1027"/>
    <x v="162"/>
    <s v="Eve"/>
    <s v="North"/>
    <n v="8666.43"/>
    <n v="15"/>
    <s v="Clothing"/>
    <n v="1615.26"/>
    <n v="1710.95"/>
    <s v="New"/>
    <n v="0.23"/>
    <s v="Credit Card"/>
    <s v="Retail"/>
    <s v="North-Eve"/>
  </r>
  <r>
    <n v="1027"/>
    <x v="34"/>
    <s v="Eve"/>
    <s v="North"/>
    <n v="1657"/>
    <n v="43"/>
    <s v="Clothing"/>
    <n v="4232.6099999999997"/>
    <n v="4572.21"/>
    <s v="New"/>
    <n v="0.01"/>
    <s v="Cash"/>
    <s v="Retail"/>
    <s v="North-Eve"/>
  </r>
  <r>
    <n v="1098"/>
    <x v="27"/>
    <s v="Alice"/>
    <s v="West"/>
    <n v="3166.9"/>
    <n v="31"/>
    <s v="Food"/>
    <n v="2407.8000000000002"/>
    <n v="2502.7600000000002"/>
    <s v="Returning"/>
    <n v="0.27"/>
    <s v="Cash"/>
    <s v="Retail"/>
    <s v="West-Alice"/>
  </r>
  <r>
    <n v="1021"/>
    <x v="212"/>
    <s v="Bob"/>
    <s v="North"/>
    <n v="2971.45"/>
    <n v="9"/>
    <s v="Furniture"/>
    <n v="3365.28"/>
    <n v="3730.43"/>
    <s v="New"/>
    <n v="0.17"/>
    <s v="Bank Transfer"/>
    <s v="Online"/>
    <s v="North-Bob"/>
  </r>
  <r>
    <n v="1030"/>
    <x v="128"/>
    <s v="Alice"/>
    <s v="West"/>
    <n v="8727"/>
    <n v="39"/>
    <s v="Electronics"/>
    <n v="2041.75"/>
    <n v="2299.37"/>
    <s v="Returning"/>
    <n v="0.24"/>
    <s v="Bank Transfer"/>
    <s v="Retail"/>
    <s v="West-Alice"/>
  </r>
  <r>
    <n v="1097"/>
    <x v="213"/>
    <s v="David"/>
    <s v="North"/>
    <n v="6759.76"/>
    <n v="45"/>
    <s v="Clothing"/>
    <n v="1525.13"/>
    <n v="1868.32"/>
    <s v="Returning"/>
    <n v="0.24"/>
    <s v="Cash"/>
    <s v="Retail"/>
    <s v="North-David"/>
  </r>
  <r>
    <n v="1028"/>
    <x v="67"/>
    <s v="Alice"/>
    <s v="North"/>
    <n v="7987.15"/>
    <n v="2"/>
    <s v="Furniture"/>
    <n v="3146.12"/>
    <n v="3255.5299999999902"/>
    <s v="Returning"/>
    <n v="0.06"/>
    <s v="Bank Transfer"/>
    <s v="Online"/>
    <s v="North-Alice"/>
  </r>
  <r>
    <n v="1064"/>
    <x v="214"/>
    <s v="David"/>
    <s v="South"/>
    <n v="2579.63"/>
    <n v="8"/>
    <s v="Clothing"/>
    <n v="816.54"/>
    <n v="1191.9000000000001"/>
    <s v="New"/>
    <n v="0.03"/>
    <s v="Cash"/>
    <s v="Retail"/>
    <s v="South-David"/>
  </r>
  <r>
    <n v="1097"/>
    <x v="215"/>
    <s v="David"/>
    <s v="East"/>
    <n v="6286.25"/>
    <n v="7"/>
    <s v="Clothing"/>
    <n v="1896.35"/>
    <n v="2394.1999999999998"/>
    <s v="New"/>
    <n v="0.22"/>
    <s v="Bank Transfer"/>
    <s v="Online"/>
    <s v="East-David"/>
  </r>
  <r>
    <n v="1069"/>
    <x v="216"/>
    <s v="Charlie"/>
    <s v="West"/>
    <n v="5760.29"/>
    <n v="44"/>
    <s v="Electronics"/>
    <n v="1084.73"/>
    <n v="1420.9"/>
    <s v="Returning"/>
    <n v="0.05"/>
    <s v="Credit Card"/>
    <s v="Online"/>
    <s v="West-Charlie"/>
  </r>
  <r>
    <n v="1061"/>
    <x v="20"/>
    <s v="Eve"/>
    <s v="South"/>
    <n v="8345.02"/>
    <n v="39"/>
    <s v="Electronics"/>
    <n v="3494.19"/>
    <n v="3746"/>
    <s v="Returning"/>
    <n v="0.25"/>
    <s v="Bank Transfer"/>
    <s v="Retail"/>
    <s v="South-Eve"/>
  </r>
  <r>
    <n v="1048"/>
    <x v="33"/>
    <s v="David"/>
    <s v="North"/>
    <n v="9070.26"/>
    <n v="42"/>
    <s v="Electronics"/>
    <n v="4723.83"/>
    <n v="5186.1899999999996"/>
    <s v="Returning"/>
    <n v="0.22"/>
    <s v="Credit Card"/>
    <s v="Online"/>
    <s v="North-David"/>
  </r>
  <r>
    <n v="1019"/>
    <x v="178"/>
    <s v="Charlie"/>
    <s v="West"/>
    <n v="220.35"/>
    <n v="16"/>
    <s v="Clothing"/>
    <n v="4977.78"/>
    <n v="4995.55"/>
    <s v="New"/>
    <n v="0.25"/>
    <s v="Credit Card"/>
    <s v="Online"/>
    <s v="West-Charlie"/>
  </r>
  <r>
    <n v="1004"/>
    <x v="217"/>
    <s v="Eve"/>
    <s v="North"/>
    <n v="6772.8"/>
    <n v="35"/>
    <s v="Clothing"/>
    <n v="2278.87"/>
    <n v="2646.5299999999902"/>
    <s v="Returning"/>
    <n v="0.09"/>
    <s v="Bank Transfer"/>
    <s v="Online"/>
    <s v="North-Eve"/>
  </r>
  <r>
    <n v="1035"/>
    <x v="218"/>
    <s v="David"/>
    <s v="East"/>
    <n v="613.16999999999996"/>
    <n v="30"/>
    <s v="Clothing"/>
    <n v="1300.03"/>
    <n v="1745.52"/>
    <s v="New"/>
    <n v="0.09"/>
    <s v="Cash"/>
    <s v="Retail"/>
    <s v="East-David"/>
  </r>
  <r>
    <n v="1064"/>
    <x v="219"/>
    <s v="David"/>
    <s v="South"/>
    <n v="5533.7"/>
    <n v="10"/>
    <s v="Electronics"/>
    <n v="2242.0100000000002"/>
    <n v="2282.23"/>
    <s v="Returning"/>
    <n v="0.2"/>
    <s v="Credit Card"/>
    <s v="Online"/>
    <s v="South-David"/>
  </r>
  <r>
    <n v="1049"/>
    <x v="131"/>
    <s v="Alice"/>
    <s v="East"/>
    <n v="2947.56"/>
    <n v="38"/>
    <s v="Food"/>
    <n v="4243.9799999999996"/>
    <n v="4474.5099999999902"/>
    <s v="New"/>
    <n v="0.01"/>
    <s v="Credit Card"/>
    <s v="Online"/>
    <s v="East-Alice"/>
  </r>
  <r>
    <n v="1017"/>
    <x v="220"/>
    <s v="Alice"/>
    <s v="South"/>
    <n v="3137.09"/>
    <n v="18"/>
    <s v="Furniture"/>
    <n v="1069.73"/>
    <n v="1180.04"/>
    <s v="Returning"/>
    <n v="0.22"/>
    <s v="Bank Transfer"/>
    <s v="Online"/>
    <s v="South-Alice"/>
  </r>
  <r>
    <n v="1044"/>
    <x v="142"/>
    <s v="Eve"/>
    <s v="North"/>
    <n v="3594.29"/>
    <n v="5"/>
    <s v="Food"/>
    <n v="4762.87"/>
    <n v="5050.46"/>
    <s v="New"/>
    <n v="0.25"/>
    <s v="Cash"/>
    <s v="Retail"/>
    <s v="North-Eve"/>
  </r>
  <r>
    <n v="1092"/>
    <x v="221"/>
    <s v="David"/>
    <s v="East"/>
    <n v="6250.8"/>
    <n v="29"/>
    <s v="Clothing"/>
    <n v="1742.24"/>
    <n v="2070.52"/>
    <s v="New"/>
    <n v="0.12"/>
    <s v="Cash"/>
    <s v="Online"/>
    <s v="East-David"/>
  </r>
  <r>
    <n v="1030"/>
    <x v="222"/>
    <s v="Bob"/>
    <s v="East"/>
    <n v="3407.09"/>
    <n v="39"/>
    <s v="Clothing"/>
    <n v="4929.7299999999996"/>
    <n v="5088.0199999999904"/>
    <s v="New"/>
    <n v="0.23"/>
    <s v="Bank Transfer"/>
    <s v="Retail"/>
    <s v="East-Bob"/>
  </r>
  <r>
    <n v="1093"/>
    <x v="223"/>
    <s v="Alice"/>
    <s v="North"/>
    <n v="7353.72"/>
    <n v="34"/>
    <s v="Food"/>
    <n v="4201.1099999999997"/>
    <n v="4436.5"/>
    <s v="New"/>
    <n v="0.05"/>
    <s v="Cash"/>
    <s v="Online"/>
    <s v="North-Alice"/>
  </r>
  <r>
    <n v="1046"/>
    <x v="54"/>
    <s v="Eve"/>
    <s v="East"/>
    <n v="4104.82"/>
    <n v="43"/>
    <s v="Clothing"/>
    <n v="4052.42"/>
    <n v="4199.3"/>
    <s v="New"/>
    <n v="0.1"/>
    <s v="Bank Transfer"/>
    <s v="Retail"/>
    <s v="East-Eve"/>
  </r>
  <r>
    <n v="1006"/>
    <x v="70"/>
    <s v="David"/>
    <s v="West"/>
    <n v="776.7"/>
    <n v="45"/>
    <s v="Furniture"/>
    <n v="1623.63"/>
    <n v="1814.63"/>
    <s v="New"/>
    <n v="0.28999999999999998"/>
    <s v="Bank Transfer"/>
    <s v="Retail"/>
    <s v="West-David"/>
  </r>
  <r>
    <n v="1099"/>
    <x v="62"/>
    <s v="David"/>
    <s v="South"/>
    <n v="7859.22"/>
    <n v="23"/>
    <s v="Clothing"/>
    <n v="93.45"/>
    <n v="181.62"/>
    <s v="Returning"/>
    <n v="0.3"/>
    <s v="Bank Transfer"/>
    <s v="Retail"/>
    <s v="South-David"/>
  </r>
  <r>
    <n v="1037"/>
    <x v="224"/>
    <s v="Bob"/>
    <s v="South"/>
    <n v="2929.01"/>
    <n v="5"/>
    <s v="Furniture"/>
    <n v="1941.56"/>
    <n v="2385.48"/>
    <s v="Returning"/>
    <n v="0.15"/>
    <s v="Credit Card"/>
    <s v="Online"/>
    <s v="South-Bob"/>
  </r>
  <r>
    <n v="1024"/>
    <x v="195"/>
    <s v="Eve"/>
    <s v="South"/>
    <n v="4384.3900000000003"/>
    <n v="30"/>
    <s v="Food"/>
    <n v="1543.96"/>
    <n v="1558.87"/>
    <s v="Returning"/>
    <n v="0.28000000000000003"/>
    <s v="Credit Card"/>
    <s v="Online"/>
    <s v="South-Eve"/>
  </r>
  <r>
    <n v="1093"/>
    <x v="11"/>
    <s v="David"/>
    <s v="West"/>
    <n v="6885.89"/>
    <n v="6"/>
    <s v="Food"/>
    <n v="235.12"/>
    <n v="677.5"/>
    <s v="Returning"/>
    <n v="0.16"/>
    <s v="Credit Card"/>
    <s v="Online"/>
    <s v="West-David"/>
  </r>
  <r>
    <n v="1046"/>
    <x v="225"/>
    <s v="Alice"/>
    <s v="South"/>
    <n v="3391.32"/>
    <n v="46"/>
    <s v="Clothing"/>
    <n v="2551.56"/>
    <n v="2841.68"/>
    <s v="New"/>
    <n v="0.09"/>
    <s v="Bank Transfer"/>
    <s v="Retail"/>
    <s v="South-Alice"/>
  </r>
  <r>
    <n v="1053"/>
    <x v="226"/>
    <s v="Bob"/>
    <s v="North"/>
    <n v="660.2"/>
    <n v="44"/>
    <s v="Furniture"/>
    <n v="2045"/>
    <n v="2217.5100000000002"/>
    <s v="Returning"/>
    <n v="0.08"/>
    <s v="Credit Card"/>
    <s v="Online"/>
    <s v="North-Bob"/>
  </r>
  <r>
    <n v="1095"/>
    <x v="182"/>
    <s v="Eve"/>
    <s v="East"/>
    <n v="3801.82"/>
    <n v="4"/>
    <s v="Clothing"/>
    <n v="3191.05"/>
    <n v="3555.35"/>
    <s v="New"/>
    <n v="0.28000000000000003"/>
    <s v="Credit Card"/>
    <s v="Online"/>
    <s v="East-Eve"/>
  </r>
  <r>
    <n v="1099"/>
    <x v="174"/>
    <s v="Bob"/>
    <s v="West"/>
    <n v="9450.0400000000009"/>
    <n v="29"/>
    <s v="Electronics"/>
    <n v="3124.87"/>
    <n v="3383.67"/>
    <s v="New"/>
    <n v="0.05"/>
    <s v="Credit Card"/>
    <s v="Retail"/>
    <s v="West-Bob"/>
  </r>
  <r>
    <n v="1060"/>
    <x v="227"/>
    <s v="Alice"/>
    <s v="South"/>
    <n v="6453.17"/>
    <n v="23"/>
    <s v="Electronics"/>
    <n v="647.70000000000005"/>
    <n v="902.26"/>
    <s v="New"/>
    <n v="0.17"/>
    <s v="Bank Transfer"/>
    <s v="Online"/>
    <s v="South-Alice"/>
  </r>
  <r>
    <n v="1097"/>
    <x v="228"/>
    <s v="Eve"/>
    <s v="North"/>
    <n v="6747.64"/>
    <n v="6"/>
    <s v="Electronics"/>
    <n v="4885.9799999999996"/>
    <n v="4949.95"/>
    <s v="Returning"/>
    <n v="0.17"/>
    <s v="Bank Transfer"/>
    <s v="Online"/>
    <s v="North-Eve"/>
  </r>
  <r>
    <n v="1063"/>
    <x v="166"/>
    <s v="Bob"/>
    <s v="East"/>
    <n v="6359.59"/>
    <n v="32"/>
    <s v="Electronics"/>
    <n v="975.31"/>
    <n v="1176.17"/>
    <s v="New"/>
    <n v="0.22"/>
    <s v="Bank Transfer"/>
    <s v="Retail"/>
    <s v="East-Bob"/>
  </r>
  <r>
    <n v="1085"/>
    <x v="189"/>
    <s v="Charlie"/>
    <s v="East"/>
    <n v="2070.02"/>
    <n v="42"/>
    <s v="Clothing"/>
    <n v="2254.11"/>
    <n v="2382.23"/>
    <s v="Returning"/>
    <n v="0.15"/>
    <s v="Credit Card"/>
    <s v="Retail"/>
    <s v="East-Charlie"/>
  </r>
  <r>
    <n v="1032"/>
    <x v="211"/>
    <s v="Alice"/>
    <s v="West"/>
    <n v="4241.51"/>
    <n v="18"/>
    <s v="Electronics"/>
    <n v="2466.1799999999998"/>
    <n v="2483.87"/>
    <s v="Returning"/>
    <n v="0.08"/>
    <s v="Cash"/>
    <s v="Online"/>
    <s v="West-Alice"/>
  </r>
  <r>
    <n v="1087"/>
    <x v="229"/>
    <s v="Alice"/>
    <s v="West"/>
    <n v="7534.3"/>
    <n v="15"/>
    <s v="Furniture"/>
    <n v="4074.66"/>
    <n v="4261.1099999999997"/>
    <s v="Returning"/>
    <n v="0.05"/>
    <s v="Credit Card"/>
    <s v="Retail"/>
    <s v="West-Alice"/>
  </r>
  <r>
    <n v="1033"/>
    <x v="186"/>
    <s v="Alice"/>
    <s v="West"/>
    <n v="1103.5899999999999"/>
    <n v="40"/>
    <s v="Food"/>
    <n v="541.19000000000005"/>
    <n v="595.20000000000005"/>
    <s v="Returning"/>
    <n v="0.19"/>
    <s v="Credit Card"/>
    <s v="Online"/>
    <s v="West-Alice"/>
  </r>
  <r>
    <n v="1067"/>
    <x v="173"/>
    <s v="Charlie"/>
    <s v="North"/>
    <n v="2850.74"/>
    <n v="32"/>
    <s v="Food"/>
    <n v="2171.79"/>
    <n v="2307.64"/>
    <s v="Returning"/>
    <n v="0.22"/>
    <s v="Bank Transfer"/>
    <s v="Online"/>
    <s v="North-Charlie"/>
  </r>
  <r>
    <n v="1018"/>
    <x v="185"/>
    <s v="Charlie"/>
    <s v="North"/>
    <n v="2835.56"/>
    <n v="9"/>
    <s v="Electronics"/>
    <n v="3161.09"/>
    <n v="3216.42"/>
    <s v="New"/>
    <n v="0.17"/>
    <s v="Bank Transfer"/>
    <s v="Online"/>
    <s v="North-Charlie"/>
  </r>
  <r>
    <n v="1025"/>
    <x v="230"/>
    <s v="David"/>
    <s v="West"/>
    <n v="4376.99"/>
    <n v="37"/>
    <s v="Electronics"/>
    <n v="1115.02"/>
    <n v="1174.48"/>
    <s v="New"/>
    <n v="0.22"/>
    <s v="Credit Card"/>
    <s v="Online"/>
    <s v="West-David"/>
  </r>
  <r>
    <n v="1095"/>
    <x v="137"/>
    <s v="Bob"/>
    <s v="South"/>
    <n v="9805.65"/>
    <n v="10"/>
    <s v="Electronics"/>
    <n v="3155.97"/>
    <n v="3263.49"/>
    <s v="Returning"/>
    <n v="0.04"/>
    <s v="Credit Card"/>
    <s v="Online"/>
    <s v="South-Bob"/>
  </r>
  <r>
    <n v="1054"/>
    <x v="230"/>
    <s v="David"/>
    <s v="East"/>
    <n v="768.28"/>
    <n v="20"/>
    <s v="Clothing"/>
    <n v="4622.1400000000003"/>
    <n v="5122.07"/>
    <s v="New"/>
    <n v="0.26"/>
    <s v="Cash"/>
    <s v="Retail"/>
    <s v="East-David"/>
  </r>
  <r>
    <n v="1058"/>
    <x v="107"/>
    <s v="Bob"/>
    <s v="East"/>
    <n v="5235.1400000000003"/>
    <n v="6"/>
    <s v="Food"/>
    <n v="4987.71"/>
    <n v="4998.78"/>
    <s v="Returning"/>
    <n v="0.17"/>
    <s v="Cash"/>
    <s v="Retail"/>
    <s v="East-Bob"/>
  </r>
  <r>
    <n v="1067"/>
    <x v="231"/>
    <s v="Charlie"/>
    <s v="North"/>
    <n v="1875.71"/>
    <n v="48"/>
    <s v="Electronics"/>
    <n v="210.63"/>
    <n v="533.57999999999902"/>
    <s v="New"/>
    <n v="0.04"/>
    <s v="Bank Transfer"/>
    <s v="Online"/>
    <s v="North-Charlie"/>
  </r>
  <r>
    <n v="1046"/>
    <x v="32"/>
    <s v="Charlie"/>
    <s v="East"/>
    <n v="9709.7000000000007"/>
    <n v="3"/>
    <s v="Furniture"/>
    <n v="1216.1600000000001"/>
    <n v="1295.3699999999999"/>
    <s v="New"/>
    <n v="0.14000000000000001"/>
    <s v="Cash"/>
    <s v="Retail"/>
    <s v="East-Charlie"/>
  </r>
  <r>
    <n v="1024"/>
    <x v="104"/>
    <s v="David"/>
    <s v="South"/>
    <n v="1221.7"/>
    <n v="42"/>
    <s v="Electronics"/>
    <n v="1586.02"/>
    <n v="2047.13"/>
    <s v="New"/>
    <n v="0.25"/>
    <s v="Cash"/>
    <s v="Retail"/>
    <s v="South-David"/>
  </r>
  <r>
    <n v="1032"/>
    <x v="232"/>
    <s v="Eve"/>
    <s v="East"/>
    <n v="4095.65"/>
    <n v="11"/>
    <s v="Food"/>
    <n v="2025.67"/>
    <n v="2081.5500000000002"/>
    <s v="New"/>
    <n v="0.27"/>
    <s v="Bank Transfer"/>
    <s v="Online"/>
    <s v="East-Eve"/>
  </r>
  <r>
    <n v="1047"/>
    <x v="197"/>
    <s v="David"/>
    <s v="North"/>
    <n v="7405.06"/>
    <n v="43"/>
    <s v="Electronics"/>
    <n v="1249.17"/>
    <n v="1727.15"/>
    <s v="New"/>
    <n v="0.08"/>
    <s v="Cash"/>
    <s v="Retail"/>
    <s v="North-David"/>
  </r>
  <r>
    <n v="1086"/>
    <x v="233"/>
    <s v="Bob"/>
    <s v="North"/>
    <n v="7075.09"/>
    <n v="17"/>
    <s v="Food"/>
    <n v="1057.27"/>
    <n v="1366.62"/>
    <s v="New"/>
    <n v="0.21"/>
    <s v="Credit Card"/>
    <s v="Retail"/>
    <s v="North-Bob"/>
  </r>
  <r>
    <n v="1023"/>
    <x v="234"/>
    <s v="David"/>
    <s v="South"/>
    <n v="4285.01"/>
    <n v="32"/>
    <s v="Electronics"/>
    <n v="4775.04"/>
    <n v="4785.66"/>
    <s v="New"/>
    <n v="0.03"/>
    <s v="Cash"/>
    <s v="Online"/>
    <s v="South-David"/>
  </r>
  <r>
    <n v="1066"/>
    <x v="235"/>
    <s v="Alice"/>
    <s v="South"/>
    <n v="3530.59"/>
    <n v="4"/>
    <s v="Furniture"/>
    <n v="4596.68"/>
    <n v="5044.74"/>
    <s v="New"/>
    <n v="0.01"/>
    <s v="Bank Transfer"/>
    <s v="Online"/>
    <s v="South-Alice"/>
  </r>
  <r>
    <n v="1027"/>
    <x v="236"/>
    <s v="Bob"/>
    <s v="East"/>
    <n v="4036.36"/>
    <n v="4"/>
    <s v="Electronics"/>
    <n v="282.61"/>
    <n v="548.25"/>
    <s v="New"/>
    <n v="0.17"/>
    <s v="Credit Card"/>
    <s v="Online"/>
    <s v="East-Bob"/>
  </r>
  <r>
    <n v="1002"/>
    <x v="21"/>
    <s v="Bob"/>
    <s v="East"/>
    <n v="2716.34"/>
    <n v="17"/>
    <s v="Furniture"/>
    <n v="1727.12"/>
    <n v="1865.83"/>
    <s v="New"/>
    <n v="0.21"/>
    <s v="Cash"/>
    <s v="Online"/>
    <s v="East-Bob"/>
  </r>
  <r>
    <n v="1090"/>
    <x v="168"/>
    <s v="Eve"/>
    <s v="North"/>
    <n v="2132.8000000000002"/>
    <n v="41"/>
    <s v="Furniture"/>
    <n v="2055.4899999999998"/>
    <n v="2441.46"/>
    <s v="New"/>
    <n v="0.24"/>
    <s v="Credit Card"/>
    <s v="Online"/>
    <s v="North-Eve"/>
  </r>
  <r>
    <n v="1017"/>
    <x v="157"/>
    <s v="Charlie"/>
    <s v="South"/>
    <n v="4882.09"/>
    <n v="19"/>
    <s v="Electronics"/>
    <n v="1233.1199999999999"/>
    <n v="1697.1899999999901"/>
    <s v="New"/>
    <n v="0.1"/>
    <s v="Credit Card"/>
    <s v="Online"/>
    <s v="South-Charlie"/>
  </r>
  <r>
    <n v="1033"/>
    <x v="237"/>
    <s v="Bob"/>
    <s v="South"/>
    <n v="2758.48"/>
    <n v="5"/>
    <s v="Furniture"/>
    <n v="3162.92"/>
    <n v="3409.93"/>
    <s v="New"/>
    <n v="0"/>
    <s v="Cash"/>
    <s v="Online"/>
    <s v="South-Bob"/>
  </r>
  <r>
    <n v="1009"/>
    <x v="238"/>
    <s v="Charlie"/>
    <s v="South"/>
    <n v="2945.87"/>
    <n v="32"/>
    <s v="Clothing"/>
    <n v="3219.88"/>
    <n v="3384.5"/>
    <s v="Returning"/>
    <n v="0.14000000000000001"/>
    <s v="Cash"/>
    <s v="Retail"/>
    <s v="South-Charlie"/>
  </r>
  <r>
    <n v="1043"/>
    <x v="186"/>
    <s v="David"/>
    <s v="East"/>
    <n v="6601.89"/>
    <n v="22"/>
    <s v="Electronics"/>
    <n v="4260"/>
    <n v="4656.58"/>
    <s v="New"/>
    <n v="0"/>
    <s v="Bank Transfer"/>
    <s v="Online"/>
    <s v="East-David"/>
  </r>
  <r>
    <n v="1048"/>
    <x v="62"/>
    <s v="Alice"/>
    <s v="South"/>
    <n v="9688.52"/>
    <n v="6"/>
    <s v="Electronics"/>
    <n v="3717.3"/>
    <n v="4061.37"/>
    <s v="New"/>
    <n v="0.03"/>
    <s v="Bank Transfer"/>
    <s v="Retail"/>
    <s v="South-Alice"/>
  </r>
  <r>
    <n v="1039"/>
    <x v="37"/>
    <s v="Eve"/>
    <s v="North"/>
    <n v="6076.01"/>
    <n v="35"/>
    <s v="Furniture"/>
    <n v="2735.74"/>
    <n v="3181.22999999999"/>
    <s v="New"/>
    <n v="0.1"/>
    <s v="Credit Card"/>
    <s v="Retail"/>
    <s v="North-Eve"/>
  </r>
  <r>
    <n v="1093"/>
    <x v="49"/>
    <s v="Charlie"/>
    <s v="North"/>
    <n v="862.1"/>
    <n v="22"/>
    <s v="Furniture"/>
    <n v="3285.25"/>
    <n v="3634.58"/>
    <s v="New"/>
    <n v="0.13"/>
    <s v="Bank Transfer"/>
    <s v="Online"/>
    <s v="North-Charlie"/>
  </r>
  <r>
    <n v="1042"/>
    <x v="239"/>
    <s v="Bob"/>
    <s v="East"/>
    <n v="848.28"/>
    <n v="1"/>
    <s v="Electronics"/>
    <n v="1406.24"/>
    <n v="1535.57"/>
    <s v="New"/>
    <n v="0.08"/>
    <s v="Credit Card"/>
    <s v="Retail"/>
    <s v="East-Bob"/>
  </r>
  <r>
    <n v="1026"/>
    <x v="173"/>
    <s v="Charlie"/>
    <s v="West"/>
    <n v="9519.09"/>
    <n v="20"/>
    <s v="Clothing"/>
    <n v="2985.63"/>
    <n v="3452.14"/>
    <s v="New"/>
    <n v="0.17"/>
    <s v="Credit Card"/>
    <s v="Retail"/>
    <s v="West-Charlie"/>
  </r>
  <r>
    <n v="1099"/>
    <x v="240"/>
    <s v="Bob"/>
    <s v="East"/>
    <n v="3043.18"/>
    <n v="22"/>
    <s v="Furniture"/>
    <n v="2471.67"/>
    <n v="2533.04"/>
    <s v="Returning"/>
    <n v="0.02"/>
    <s v="Bank Transfer"/>
    <s v="Retail"/>
    <s v="East-Bob"/>
  </r>
  <r>
    <n v="1050"/>
    <x v="5"/>
    <s v="Charlie"/>
    <s v="West"/>
    <n v="1011.46"/>
    <n v="48"/>
    <s v="Furniture"/>
    <n v="710.06"/>
    <n v="851.349999999999"/>
    <s v="Returning"/>
    <n v="0.04"/>
    <s v="Bank Transfer"/>
    <s v="Online"/>
    <s v="West-Charlie"/>
  </r>
  <r>
    <n v="1025"/>
    <x v="64"/>
    <s v="Bob"/>
    <s v="South"/>
    <n v="6030.54"/>
    <n v="11"/>
    <s v="Food"/>
    <n v="1250.5899999999999"/>
    <n v="1515.48999999999"/>
    <s v="Returning"/>
    <n v="0.21"/>
    <s v="Bank Transfer"/>
    <s v="Retail"/>
    <s v="South-Bob"/>
  </r>
  <r>
    <n v="1024"/>
    <x v="241"/>
    <s v="David"/>
    <s v="East"/>
    <n v="6274.12"/>
    <n v="13"/>
    <s v="Clothing"/>
    <n v="1493.88"/>
    <n v="1781.09"/>
    <s v="New"/>
    <n v="0.04"/>
    <s v="Cash"/>
    <s v="Retail"/>
    <s v="East-David"/>
  </r>
  <r>
    <n v="1013"/>
    <x v="0"/>
    <s v="Bob"/>
    <s v="North"/>
    <n v="6520.2"/>
    <n v="42"/>
    <s v="Clothing"/>
    <n v="4625.33"/>
    <n v="4642.83"/>
    <s v="New"/>
    <n v="0.19"/>
    <s v="Credit Card"/>
    <s v="Online"/>
    <s v="North-Bob"/>
  </r>
  <r>
    <n v="1060"/>
    <x v="172"/>
    <s v="Bob"/>
    <s v="South"/>
    <n v="2747.28"/>
    <n v="3"/>
    <s v="Electronics"/>
    <n v="1190.4100000000001"/>
    <n v="1582.89"/>
    <s v="New"/>
    <n v="0.02"/>
    <s v="Credit Card"/>
    <s v="Retail"/>
    <s v="South-Bob"/>
  </r>
  <r>
    <n v="1007"/>
    <x v="98"/>
    <s v="Alice"/>
    <s v="North"/>
    <n v="249.6"/>
    <n v="9"/>
    <s v="Clothing"/>
    <n v="1481.76"/>
    <n v="1668.95"/>
    <s v="Returning"/>
    <n v="0.12"/>
    <s v="Credit Card"/>
    <s v="Retail"/>
    <s v="North-Alice"/>
  </r>
  <r>
    <n v="1057"/>
    <x v="115"/>
    <s v="Bob"/>
    <s v="South"/>
    <n v="9653.65"/>
    <n v="12"/>
    <s v="Electronics"/>
    <n v="1878.3"/>
    <n v="2087.4499999999998"/>
    <s v="New"/>
    <n v="0.05"/>
    <s v="Bank Transfer"/>
    <s v="Retail"/>
    <s v="South-Bob"/>
  </r>
  <r>
    <n v="1036"/>
    <x v="85"/>
    <s v="Alice"/>
    <s v="East"/>
    <n v="2583.84"/>
    <n v="23"/>
    <s v="Food"/>
    <n v="3335.53"/>
    <n v="3742.12"/>
    <s v="New"/>
    <n v="0.03"/>
    <s v="Bank Transfer"/>
    <s v="Retail"/>
    <s v="East-Alice"/>
  </r>
  <r>
    <n v="1045"/>
    <x v="202"/>
    <s v="Eve"/>
    <s v="West"/>
    <n v="6792.66"/>
    <n v="14"/>
    <s v="Clothing"/>
    <n v="635.28"/>
    <n v="831.13"/>
    <s v="Returning"/>
    <n v="0.17"/>
    <s v="Bank Transfer"/>
    <s v="Retail"/>
    <s v="West-Eve"/>
  </r>
  <r>
    <n v="1020"/>
    <x v="167"/>
    <s v="Alice"/>
    <s v="South"/>
    <n v="7095.64"/>
    <n v="33"/>
    <s v="Furniture"/>
    <n v="4772.03"/>
    <n v="4805.17"/>
    <s v="Returning"/>
    <n v="0.28000000000000003"/>
    <s v="Bank Transfer"/>
    <s v="Online"/>
    <s v="South-Alice"/>
  </r>
  <r>
    <n v="1065"/>
    <x v="242"/>
    <s v="David"/>
    <s v="West"/>
    <n v="6139.07"/>
    <n v="18"/>
    <s v="Food"/>
    <n v="4334.58"/>
    <n v="4431.04"/>
    <s v="New"/>
    <n v="0.02"/>
    <s v="Bank Transfer"/>
    <s v="Retail"/>
    <s v="West-David"/>
  </r>
  <r>
    <n v="1008"/>
    <x v="182"/>
    <s v="Alice"/>
    <s v="South"/>
    <n v="3197.78"/>
    <n v="49"/>
    <s v="Electronics"/>
    <n v="2907.22"/>
    <n v="3385.6099999999901"/>
    <s v="New"/>
    <n v="0.13"/>
    <s v="Cash"/>
    <s v="Online"/>
    <s v="South-Alice"/>
  </r>
  <r>
    <n v="1016"/>
    <x v="243"/>
    <s v="Eve"/>
    <s v="North"/>
    <n v="2783.85"/>
    <n v="41"/>
    <s v="Food"/>
    <n v="3386.49"/>
    <n v="3430.99"/>
    <s v="New"/>
    <n v="0.21"/>
    <s v="Bank Transfer"/>
    <s v="Retail"/>
    <s v="North-Eve"/>
  </r>
  <r>
    <n v="1014"/>
    <x v="163"/>
    <s v="David"/>
    <s v="North"/>
    <n v="6016.92"/>
    <n v="9"/>
    <s v="Electronics"/>
    <n v="132.47"/>
    <n v="316.39"/>
    <s v="New"/>
    <n v="0.14000000000000001"/>
    <s v="Credit Card"/>
    <s v="Online"/>
    <s v="North-David"/>
  </r>
  <r>
    <n v="1076"/>
    <x v="155"/>
    <s v="Charlie"/>
    <s v="South"/>
    <n v="8674.35"/>
    <n v="23"/>
    <s v="Food"/>
    <n v="1727.78"/>
    <n v="1984.34"/>
    <s v="Returning"/>
    <n v="0.24"/>
    <s v="Bank Transfer"/>
    <s v="Online"/>
    <s v="South-Charlie"/>
  </r>
  <r>
    <n v="1087"/>
    <x v="39"/>
    <s v="Charlie"/>
    <s v="West"/>
    <n v="9472.66"/>
    <n v="10"/>
    <s v="Electronics"/>
    <n v="3988.52"/>
    <n v="4240.2299999999996"/>
    <s v="New"/>
    <n v="0.05"/>
    <s v="Credit Card"/>
    <s v="Online"/>
    <s v="West-Charlie"/>
  </r>
  <r>
    <n v="1015"/>
    <x v="244"/>
    <s v="Alice"/>
    <s v="East"/>
    <n v="1148.47"/>
    <n v="19"/>
    <s v="Clothing"/>
    <n v="433.54"/>
    <n v="445.48"/>
    <s v="New"/>
    <n v="0.28999999999999998"/>
    <s v="Bank Transfer"/>
    <s v="Retail"/>
    <s v="East-Alice"/>
  </r>
  <r>
    <n v="1092"/>
    <x v="74"/>
    <s v="Alice"/>
    <s v="East"/>
    <n v="1632.8"/>
    <n v="47"/>
    <s v="Furniture"/>
    <n v="1447.45"/>
    <n v="1703.02"/>
    <s v="Returning"/>
    <n v="0.12"/>
    <s v="Bank Transfer"/>
    <s v="Retail"/>
    <s v="East-Alice"/>
  </r>
  <r>
    <n v="1098"/>
    <x v="238"/>
    <s v="Eve"/>
    <s v="North"/>
    <n v="9452.89"/>
    <n v="5"/>
    <s v="Electronics"/>
    <n v="2947.22"/>
    <n v="3145.27"/>
    <s v="New"/>
    <n v="0.1"/>
    <s v="Credit Card"/>
    <s v="Retail"/>
    <s v="North-Eve"/>
  </r>
  <r>
    <n v="1066"/>
    <x v="245"/>
    <s v="Eve"/>
    <s v="East"/>
    <n v="7391.7"/>
    <n v="47"/>
    <s v="Food"/>
    <n v="1319.24"/>
    <n v="1805.56"/>
    <s v="New"/>
    <n v="0.26"/>
    <s v="Credit Card"/>
    <s v="Retail"/>
    <s v="East-Eve"/>
  </r>
  <r>
    <n v="1032"/>
    <x v="104"/>
    <s v="Bob"/>
    <s v="North"/>
    <n v="8841.64"/>
    <n v="23"/>
    <s v="Electronics"/>
    <n v="4673.1899999999996"/>
    <n v="4761.1799999999903"/>
    <s v="Returning"/>
    <n v="0.17"/>
    <s v="Credit Card"/>
    <s v="Retail"/>
    <s v="North-Bob"/>
  </r>
  <r>
    <n v="1087"/>
    <x v="117"/>
    <s v="Eve"/>
    <s v="East"/>
    <n v="2106.06"/>
    <n v="30"/>
    <s v="Electronics"/>
    <n v="698.74"/>
    <n v="882.28"/>
    <s v="Returning"/>
    <n v="0.15"/>
    <s v="Credit Card"/>
    <s v="Online"/>
    <s v="East-Eve"/>
  </r>
  <r>
    <n v="1063"/>
    <x v="46"/>
    <s v="Bob"/>
    <s v="South"/>
    <n v="5917.1"/>
    <n v="25"/>
    <s v="Electronics"/>
    <n v="3997.1"/>
    <n v="4212.6499999999996"/>
    <s v="New"/>
    <n v="0.22"/>
    <s v="Cash"/>
    <s v="Online"/>
    <s v="South-Bob"/>
  </r>
  <r>
    <n v="1086"/>
    <x v="246"/>
    <s v="David"/>
    <s v="North"/>
    <n v="7041.28"/>
    <n v="28"/>
    <s v="Food"/>
    <n v="2564.35"/>
    <n v="2765.79"/>
    <s v="Returning"/>
    <n v="0.17"/>
    <s v="Credit Card"/>
    <s v="Online"/>
    <s v="North-David"/>
  </r>
  <r>
    <n v="1051"/>
    <x v="247"/>
    <s v="Alice"/>
    <s v="North"/>
    <n v="6833.11"/>
    <n v="34"/>
    <s v="Furniture"/>
    <n v="3764.14"/>
    <n v="4100.3999999999996"/>
    <s v="Returning"/>
    <n v="0.05"/>
    <s v="Bank Transfer"/>
    <s v="Retail"/>
    <s v="North-Alice"/>
  </r>
  <r>
    <n v="1025"/>
    <x v="248"/>
    <s v="David"/>
    <s v="South"/>
    <n v="4140.7"/>
    <n v="45"/>
    <s v="Clothing"/>
    <n v="1588.04"/>
    <n v="1703.6399999999901"/>
    <s v="New"/>
    <n v="0.2"/>
    <s v="Bank Transfer"/>
    <s v="Retail"/>
    <s v="South-David"/>
  </r>
  <r>
    <n v="1058"/>
    <x v="249"/>
    <s v="Eve"/>
    <s v="North"/>
    <n v="252.41"/>
    <n v="48"/>
    <s v="Furniture"/>
    <n v="2596.7199999999998"/>
    <n v="2715.0499999999902"/>
    <s v="Returning"/>
    <n v="0.04"/>
    <s v="Cash"/>
    <s v="Online"/>
    <s v="North-Eve"/>
  </r>
  <r>
    <n v="1063"/>
    <x v="75"/>
    <s v="David"/>
    <s v="East"/>
    <n v="5870.97"/>
    <n v="47"/>
    <s v="Electronics"/>
    <n v="4291.33"/>
    <n v="4658.6400000000003"/>
    <s v="New"/>
    <n v="0.24"/>
    <s v="Credit Card"/>
    <s v="Retail"/>
    <s v="East-David"/>
  </r>
  <r>
    <n v="1062"/>
    <x v="250"/>
    <s v="David"/>
    <s v="East"/>
    <n v="2605.71"/>
    <n v="25"/>
    <s v="Food"/>
    <n v="2361.0500000000002"/>
    <n v="2616.19"/>
    <s v="New"/>
    <n v="0.3"/>
    <s v="Bank Transfer"/>
    <s v="Retail"/>
    <s v="East-David"/>
  </r>
  <r>
    <n v="1022"/>
    <x v="147"/>
    <s v="David"/>
    <s v="North"/>
    <n v="4557.5200000000004"/>
    <n v="10"/>
    <s v="Furniture"/>
    <n v="1830.61"/>
    <n v="2044.04"/>
    <s v="New"/>
    <n v="0.11"/>
    <s v="Cash"/>
    <s v="Online"/>
    <s v="North-David"/>
  </r>
  <r>
    <n v="1058"/>
    <x v="251"/>
    <s v="Eve"/>
    <s v="East"/>
    <n v="9580.0499999999993"/>
    <n v="14"/>
    <s v="Electronics"/>
    <n v="2703.97"/>
    <n v="2796.8799999999901"/>
    <s v="New"/>
    <n v="0.13"/>
    <s v="Bank Transfer"/>
    <s v="Online"/>
    <s v="East-Eve"/>
  </r>
  <r>
    <n v="1058"/>
    <x v="252"/>
    <s v="David"/>
    <s v="West"/>
    <n v="4050.45"/>
    <n v="42"/>
    <s v="Clothing"/>
    <n v="3600.95"/>
    <n v="3702.8399999999901"/>
    <s v="Returning"/>
    <n v="0.01"/>
    <s v="Cash"/>
    <s v="Retail"/>
    <s v="West-David"/>
  </r>
  <r>
    <n v="1086"/>
    <x v="253"/>
    <s v="Bob"/>
    <s v="North"/>
    <n v="8414.0400000000009"/>
    <n v="46"/>
    <s v="Clothing"/>
    <n v="2245.64"/>
    <n v="2260.81"/>
    <s v="New"/>
    <n v="0"/>
    <s v="Cash"/>
    <s v="Retail"/>
    <s v="North-Bob"/>
  </r>
  <r>
    <n v="1049"/>
    <x v="138"/>
    <s v="Eve"/>
    <s v="South"/>
    <n v="1966.55"/>
    <n v="30"/>
    <s v="Clothing"/>
    <n v="4697.4399999999996"/>
    <n v="4752.24"/>
    <s v="New"/>
    <n v="0.28000000000000003"/>
    <s v="Credit Card"/>
    <s v="Online"/>
    <s v="South-Eve"/>
  </r>
  <r>
    <n v="1052"/>
    <x v="9"/>
    <s v="David"/>
    <s v="West"/>
    <n v="6757.36"/>
    <n v="41"/>
    <s v="Electronics"/>
    <n v="1509.98"/>
    <n v="1792.83"/>
    <s v="New"/>
    <n v="0.04"/>
    <s v="Cash"/>
    <s v="Retail"/>
    <s v="West-David"/>
  </r>
  <r>
    <n v="1042"/>
    <x v="157"/>
    <s v="Eve"/>
    <s v="North"/>
    <n v="9772.3700000000008"/>
    <n v="25"/>
    <s v="Food"/>
    <n v="2403.54"/>
    <n v="2850.56"/>
    <s v="New"/>
    <n v="0.13"/>
    <s v="Bank Transfer"/>
    <s v="Online"/>
    <s v="North-Eve"/>
  </r>
  <r>
    <n v="1070"/>
    <x v="165"/>
    <s v="Charlie"/>
    <s v="South"/>
    <n v="1108.74"/>
    <n v="14"/>
    <s v="Furniture"/>
    <n v="3796.79"/>
    <n v="3947.5"/>
    <s v="Returning"/>
    <n v="0.24"/>
    <s v="Bank Transfer"/>
    <s v="Online"/>
    <s v="South-Charlie"/>
  </r>
  <r>
    <n v="1015"/>
    <x v="91"/>
    <s v="Bob"/>
    <s v="East"/>
    <n v="182.37"/>
    <n v="35"/>
    <s v="Clothing"/>
    <n v="3461.15"/>
    <n v="3631.75"/>
    <s v="Returning"/>
    <n v="0.27"/>
    <s v="Credit Card"/>
    <s v="Online"/>
    <s v="East-Bob"/>
  </r>
  <r>
    <n v="1054"/>
    <x v="87"/>
    <s v="David"/>
    <s v="South"/>
    <n v="4392.47"/>
    <n v="48"/>
    <s v="Electronics"/>
    <n v="4325.0200000000004"/>
    <n v="4391.67"/>
    <s v="Returning"/>
    <n v="0.16"/>
    <s v="Credit Card"/>
    <s v="Retail"/>
    <s v="South-David"/>
  </r>
  <r>
    <n v="1060"/>
    <x v="142"/>
    <s v="Charlie"/>
    <s v="West"/>
    <n v="1016.99"/>
    <n v="34"/>
    <s v="Electronics"/>
    <n v="4984.21"/>
    <n v="5184.6400000000003"/>
    <s v="New"/>
    <n v="0.17"/>
    <s v="Cash"/>
    <s v="Online"/>
    <s v="West-Charlie"/>
  </r>
  <r>
    <n v="1097"/>
    <x v="254"/>
    <s v="Charlie"/>
    <s v="East"/>
    <n v="7509.01"/>
    <n v="10"/>
    <s v="Furniture"/>
    <n v="2162.9499999999998"/>
    <n v="2191.1899999999901"/>
    <s v="Returning"/>
    <n v="0.2"/>
    <s v="Credit Card"/>
    <s v="Online"/>
    <s v="East-Charlie"/>
  </r>
  <r>
    <n v="1008"/>
    <x v="55"/>
    <s v="Eve"/>
    <s v="North"/>
    <n v="9154.0300000000007"/>
    <n v="35"/>
    <s v="Clothing"/>
    <n v="600.20000000000005"/>
    <n v="1059.82"/>
    <s v="Returning"/>
    <n v="0.28999999999999998"/>
    <s v="Bank Transfer"/>
    <s v="Retail"/>
    <s v="North-Eve"/>
  </r>
  <r>
    <n v="1053"/>
    <x v="255"/>
    <s v="Charlie"/>
    <s v="East"/>
    <n v="4396.8100000000004"/>
    <n v="11"/>
    <s v="Electronics"/>
    <n v="200.56"/>
    <n v="540.38"/>
    <s v="New"/>
    <n v="0.18"/>
    <s v="Bank Transfer"/>
    <s v="Online"/>
    <s v="East-Charlie"/>
  </r>
  <r>
    <n v="1060"/>
    <x v="105"/>
    <s v="Bob"/>
    <s v="North"/>
    <n v="2661.25"/>
    <n v="11"/>
    <s v="Furniture"/>
    <n v="3648.04"/>
    <n v="4143.51"/>
    <s v="Returning"/>
    <n v="0.17"/>
    <s v="Credit Card"/>
    <s v="Retail"/>
    <s v="North-Bob"/>
  </r>
  <r>
    <n v="1005"/>
    <x v="256"/>
    <s v="Bob"/>
    <s v="North"/>
    <n v="4400.59"/>
    <n v="21"/>
    <s v="Food"/>
    <n v="4376.37"/>
    <n v="4818.95"/>
    <s v="New"/>
    <n v="0"/>
    <s v="Credit Card"/>
    <s v="Retail"/>
    <s v="North-Bob"/>
  </r>
  <r>
    <n v="1068"/>
    <x v="257"/>
    <s v="Alice"/>
    <s v="South"/>
    <n v="7262.13"/>
    <n v="21"/>
    <s v="Food"/>
    <n v="1142.53"/>
    <n v="1384.3"/>
    <s v="Returning"/>
    <n v="0.02"/>
    <s v="Credit Card"/>
    <s v="Retail"/>
    <s v="South-Alice"/>
  </r>
  <r>
    <n v="1006"/>
    <x v="250"/>
    <s v="Bob"/>
    <s v="South"/>
    <n v="189.64"/>
    <n v="22"/>
    <s v="Food"/>
    <n v="834.32"/>
    <n v="1098.97"/>
    <s v="Returning"/>
    <n v="0.17"/>
    <s v="Cash"/>
    <s v="Online"/>
    <s v="South-Bob"/>
  </r>
  <r>
    <n v="1096"/>
    <x v="238"/>
    <s v="Charlie"/>
    <s v="South"/>
    <n v="5935.59"/>
    <n v="45"/>
    <s v="Clothing"/>
    <n v="357.92"/>
    <n v="461.3"/>
    <s v="Returning"/>
    <n v="0.28000000000000003"/>
    <s v="Cash"/>
    <s v="Online"/>
    <s v="South-Charlie"/>
  </r>
  <r>
    <n v="1094"/>
    <x v="164"/>
    <s v="Bob"/>
    <s v="West"/>
    <n v="6171.59"/>
    <n v="7"/>
    <s v="Furniture"/>
    <n v="4122.38"/>
    <n v="4358.78"/>
    <s v="Returning"/>
    <n v="0.26"/>
    <s v="Bank Transfer"/>
    <s v="Retail"/>
    <s v="West-Bob"/>
  </r>
  <r>
    <n v="1047"/>
    <x v="1"/>
    <s v="Eve"/>
    <s v="West"/>
    <n v="6413.11"/>
    <n v="17"/>
    <s v="Furniture"/>
    <n v="1591.34"/>
    <n v="2043.82"/>
    <s v="New"/>
    <n v="0.28999999999999998"/>
    <s v="Cash"/>
    <s v="Retail"/>
    <s v="West-Eve"/>
  </r>
  <r>
    <n v="1099"/>
    <x v="26"/>
    <s v="Alice"/>
    <s v="South"/>
    <n v="2496.02"/>
    <n v="2"/>
    <s v="Electronics"/>
    <n v="2038.4"/>
    <n v="2073.3200000000002"/>
    <s v="New"/>
    <n v="0.16"/>
    <s v="Cash"/>
    <s v="Retail"/>
    <s v="South-Alice"/>
  </r>
  <r>
    <n v="1055"/>
    <x v="234"/>
    <s v="Charlie"/>
    <s v="West"/>
    <n v="7169.12"/>
    <n v="12"/>
    <s v="Electronics"/>
    <n v="2538.61"/>
    <n v="2971.75"/>
    <s v="Returning"/>
    <n v="0.24"/>
    <s v="Cash"/>
    <s v="Online"/>
    <s v="West-Charlie"/>
  </r>
  <r>
    <n v="1040"/>
    <x v="83"/>
    <s v="Alice"/>
    <s v="East"/>
    <n v="1004.78"/>
    <n v="42"/>
    <s v="Electronics"/>
    <n v="4205.29"/>
    <n v="4382.3500000000004"/>
    <s v="New"/>
    <n v="0.25"/>
    <s v="Cash"/>
    <s v="Retail"/>
    <s v="East-Alice"/>
  </r>
  <r>
    <n v="1052"/>
    <x v="258"/>
    <s v="Charlie"/>
    <s v="East"/>
    <n v="2072.7800000000002"/>
    <n v="18"/>
    <s v="Furniture"/>
    <n v="3271.62"/>
    <n v="3722.38"/>
    <s v="Returning"/>
    <n v="0.19"/>
    <s v="Bank Transfer"/>
    <s v="Retail"/>
    <s v="East-Charlie"/>
  </r>
  <r>
    <n v="1016"/>
    <x v="15"/>
    <s v="Eve"/>
    <s v="West"/>
    <n v="8786.9500000000007"/>
    <n v="11"/>
    <s v="Electronics"/>
    <n v="3094.57"/>
    <n v="3565.6"/>
    <s v="Returning"/>
    <n v="0.1"/>
    <s v="Credit Card"/>
    <s v="Retail"/>
    <s v="West-Eve"/>
  </r>
  <r>
    <n v="1013"/>
    <x v="259"/>
    <s v="Alice"/>
    <s v="West"/>
    <n v="7413.36"/>
    <n v="16"/>
    <s v="Furniture"/>
    <n v="919.58"/>
    <n v="1258.3"/>
    <s v="Returning"/>
    <n v="0.14000000000000001"/>
    <s v="Bank Transfer"/>
    <s v="Online"/>
    <s v="West-Alice"/>
  </r>
  <r>
    <n v="1030"/>
    <x v="33"/>
    <s v="David"/>
    <s v="East"/>
    <n v="236.08"/>
    <n v="49"/>
    <s v="Furniture"/>
    <n v="2590.29"/>
    <n v="2925.86"/>
    <s v="Returning"/>
    <n v="0.26"/>
    <s v="Cash"/>
    <s v="Retail"/>
    <s v="East-David"/>
  </r>
  <r>
    <n v="1019"/>
    <x v="208"/>
    <s v="Charlie"/>
    <s v="North"/>
    <n v="2558.92"/>
    <n v="18"/>
    <s v="Food"/>
    <n v="3591.14"/>
    <n v="3822.99"/>
    <s v="Returning"/>
    <n v="0.09"/>
    <s v="Credit Card"/>
    <s v="Online"/>
    <s v="North-Charlie"/>
  </r>
  <r>
    <n v="1017"/>
    <x v="141"/>
    <s v="David"/>
    <s v="East"/>
    <n v="2222.62"/>
    <n v="35"/>
    <s v="Electronics"/>
    <n v="4867.6400000000003"/>
    <n v="5287.05"/>
    <s v="Returning"/>
    <n v="0.28000000000000003"/>
    <s v="Credit Card"/>
    <s v="Online"/>
    <s v="East-David"/>
  </r>
  <r>
    <n v="1063"/>
    <x v="257"/>
    <s v="Alice"/>
    <s v="East"/>
    <n v="2780.98"/>
    <n v="26"/>
    <s v="Food"/>
    <n v="1046.96"/>
    <n v="1528.15"/>
    <s v="New"/>
    <n v="7.0000000000000007E-2"/>
    <s v="Credit Card"/>
    <s v="Retail"/>
    <s v="East-Alice"/>
  </r>
  <r>
    <n v="1019"/>
    <x v="169"/>
    <s v="David"/>
    <s v="West"/>
    <n v="2550.84"/>
    <n v="16"/>
    <s v="Clothing"/>
    <n v="97.24"/>
    <n v="487.03"/>
    <s v="New"/>
    <n v="0.22"/>
    <s v="Bank Transfer"/>
    <s v="Retail"/>
    <s v="West-David"/>
  </r>
  <r>
    <n v="1092"/>
    <x v="181"/>
    <s v="David"/>
    <s v="East"/>
    <n v="719.01"/>
    <n v="6"/>
    <s v="Clothing"/>
    <n v="422.74"/>
    <n v="737.49"/>
    <s v="Returning"/>
    <n v="0.19"/>
    <s v="Credit Card"/>
    <s v="Retail"/>
    <s v="East-David"/>
  </r>
  <r>
    <n v="1058"/>
    <x v="13"/>
    <s v="Alice"/>
    <s v="West"/>
    <n v="4643.51"/>
    <n v="44"/>
    <s v="Clothing"/>
    <n v="1910.47"/>
    <n v="2217.8000000000002"/>
    <s v="New"/>
    <n v="0.22"/>
    <s v="Bank Transfer"/>
    <s v="Online"/>
    <s v="West-Alice"/>
  </r>
  <r>
    <n v="1055"/>
    <x v="233"/>
    <s v="Eve"/>
    <s v="West"/>
    <n v="7354.06"/>
    <n v="43"/>
    <s v="Furniture"/>
    <n v="4111.7"/>
    <n v="4537.9399999999996"/>
    <s v="Returning"/>
    <n v="0.13"/>
    <s v="Bank Transfer"/>
    <s v="Online"/>
    <s v="West-Eve"/>
  </r>
  <r>
    <n v="1090"/>
    <x v="168"/>
    <s v="David"/>
    <s v="South"/>
    <n v="6106.64"/>
    <n v="47"/>
    <s v="Furniture"/>
    <n v="85.35"/>
    <n v="360.539999999999"/>
    <s v="New"/>
    <n v="0.28000000000000003"/>
    <s v="Cash"/>
    <s v="Online"/>
    <s v="South-David"/>
  </r>
  <r>
    <n v="1090"/>
    <x v="260"/>
    <s v="David"/>
    <s v="East"/>
    <n v="6761.43"/>
    <n v="47"/>
    <s v="Furniture"/>
    <n v="2310.8200000000002"/>
    <n v="2714.71"/>
    <s v="New"/>
    <n v="0.19"/>
    <s v="Cash"/>
    <s v="Retail"/>
    <s v="East-David"/>
  </r>
  <r>
    <n v="1062"/>
    <x v="233"/>
    <s v="Eve"/>
    <s v="North"/>
    <n v="903.38"/>
    <n v="48"/>
    <s v="Electronics"/>
    <n v="1679.69"/>
    <n v="1939.04"/>
    <s v="New"/>
    <n v="0.09"/>
    <s v="Credit Card"/>
    <s v="Online"/>
    <s v="North-Eve"/>
  </r>
  <r>
    <n v="1023"/>
    <x v="87"/>
    <s v="David"/>
    <s v="South"/>
    <n v="9519.76"/>
    <n v="42"/>
    <s v="Food"/>
    <n v="309.77999999999997"/>
    <n v="350.38"/>
    <s v="Returning"/>
    <n v="0.19"/>
    <s v="Credit Card"/>
    <s v="Retail"/>
    <s v="South-David"/>
  </r>
  <r>
    <n v="1009"/>
    <x v="172"/>
    <s v="David"/>
    <s v="West"/>
    <n v="8401.07"/>
    <n v="12"/>
    <s v="Furniture"/>
    <n v="2278.67"/>
    <n v="2476.8000000000002"/>
    <s v="New"/>
    <n v="0.09"/>
    <s v="Cash"/>
    <s v="Retail"/>
    <s v="West-David"/>
  </r>
  <r>
    <n v="1012"/>
    <x v="261"/>
    <s v="David"/>
    <s v="West"/>
    <n v="8070.39"/>
    <n v="13"/>
    <s v="Food"/>
    <n v="1311.01"/>
    <n v="1538.79"/>
    <s v="Returning"/>
    <n v="0.09"/>
    <s v="Bank Transfer"/>
    <s v="Retail"/>
    <s v="West-David"/>
  </r>
  <r>
    <n v="1001"/>
    <x v="262"/>
    <s v="Bob"/>
    <s v="North"/>
    <n v="8247.5400000000009"/>
    <n v="4"/>
    <s v="Food"/>
    <n v="1791.83"/>
    <n v="1871.22"/>
    <s v="Returning"/>
    <n v="0.12"/>
    <s v="Bank Transfer"/>
    <s v="Online"/>
    <s v="North-Bob"/>
  </r>
  <r>
    <n v="1058"/>
    <x v="263"/>
    <s v="Eve"/>
    <s v="West"/>
    <n v="9333.83"/>
    <n v="39"/>
    <s v="Food"/>
    <n v="3542.8"/>
    <n v="3603.02"/>
    <s v="Returning"/>
    <n v="0.26"/>
    <s v="Cash"/>
    <s v="Online"/>
    <s v="West-Eve"/>
  </r>
  <r>
    <n v="1001"/>
    <x v="106"/>
    <s v="David"/>
    <s v="East"/>
    <n v="5488.11"/>
    <n v="2"/>
    <s v="Electronics"/>
    <n v="2631.68"/>
    <n v="2904.06"/>
    <s v="New"/>
    <n v="0.15"/>
    <s v="Bank Transfer"/>
    <s v="Online"/>
    <s v="East-David"/>
  </r>
  <r>
    <n v="1034"/>
    <x v="5"/>
    <s v="Eve"/>
    <s v="South"/>
    <n v="2082.79"/>
    <n v="26"/>
    <s v="Electronics"/>
    <n v="667"/>
    <n v="718.72"/>
    <s v="New"/>
    <n v="0.2"/>
    <s v="Cash"/>
    <s v="Retail"/>
    <s v="South-Eve"/>
  </r>
  <r>
    <n v="1096"/>
    <x v="170"/>
    <s v="Charlie"/>
    <s v="West"/>
    <n v="6206.16"/>
    <n v="27"/>
    <s v="Clothing"/>
    <n v="4809"/>
    <n v="4967.4399999999996"/>
    <s v="New"/>
    <n v="0.12"/>
    <s v="Cash"/>
    <s v="Online"/>
    <s v="West-Charlie"/>
  </r>
  <r>
    <n v="1048"/>
    <x v="118"/>
    <s v="Charlie"/>
    <s v="West"/>
    <n v="7454.53"/>
    <n v="27"/>
    <s v="Clothing"/>
    <n v="3197.76"/>
    <n v="3572.61"/>
    <s v="Returning"/>
    <n v="0.08"/>
    <s v="Credit Card"/>
    <s v="Online"/>
    <s v="West-Charlie"/>
  </r>
  <r>
    <n v="1089"/>
    <x v="96"/>
    <s v="David"/>
    <s v="North"/>
    <n v="7405.38"/>
    <n v="15"/>
    <s v="Food"/>
    <n v="3841.05"/>
    <n v="4323.62"/>
    <s v="Returning"/>
    <n v="0.28999999999999998"/>
    <s v="Credit Card"/>
    <s v="Retail"/>
    <s v="North-David"/>
  </r>
  <r>
    <n v="1001"/>
    <x v="198"/>
    <s v="Eve"/>
    <s v="East"/>
    <n v="5262.35"/>
    <n v="8"/>
    <s v="Clothing"/>
    <n v="442.11"/>
    <n v="803.87"/>
    <s v="New"/>
    <n v="0.18"/>
    <s v="Cash"/>
    <s v="Retail"/>
    <s v="East-Eve"/>
  </r>
  <r>
    <n v="1016"/>
    <x v="14"/>
    <s v="Eve"/>
    <s v="West"/>
    <n v="777.74"/>
    <n v="7"/>
    <s v="Food"/>
    <n v="282.94"/>
    <n v="779.32999999999902"/>
    <s v="Returning"/>
    <n v="0.28000000000000003"/>
    <s v="Credit Card"/>
    <s v="Online"/>
    <s v="West-Eve"/>
  </r>
  <r>
    <n v="1061"/>
    <x v="264"/>
    <s v="Eve"/>
    <s v="North"/>
    <n v="3774.02"/>
    <n v="47"/>
    <s v="Electronics"/>
    <n v="146.27000000000001"/>
    <n v="498.46"/>
    <s v="New"/>
    <n v="0.06"/>
    <s v="Cash"/>
    <s v="Retail"/>
    <s v="North-Eve"/>
  </r>
  <r>
    <n v="1064"/>
    <x v="72"/>
    <s v="Bob"/>
    <s v="West"/>
    <n v="9215.59"/>
    <n v="46"/>
    <s v="Electronics"/>
    <n v="984.53"/>
    <n v="1138.49"/>
    <s v="New"/>
    <n v="0.04"/>
    <s v="Bank Transfer"/>
    <s v="Online"/>
    <s v="West-Bob"/>
  </r>
  <r>
    <n v="1063"/>
    <x v="265"/>
    <s v="Charlie"/>
    <s v="North"/>
    <n v="5886.04"/>
    <n v="40"/>
    <s v="Electronics"/>
    <n v="2101.3200000000002"/>
    <n v="2440.63"/>
    <s v="New"/>
    <n v="0.26"/>
    <s v="Bank Transfer"/>
    <s v="Retail"/>
    <s v="North-Charlie"/>
  </r>
  <r>
    <n v="1069"/>
    <x v="266"/>
    <s v="Eve"/>
    <s v="North"/>
    <n v="5429.49"/>
    <n v="12"/>
    <s v="Furniture"/>
    <n v="4682.34"/>
    <n v="5036.3999999999996"/>
    <s v="New"/>
    <n v="0.2"/>
    <s v="Bank Transfer"/>
    <s v="Retail"/>
    <s v="North-Eve"/>
  </r>
  <r>
    <n v="1022"/>
    <x v="267"/>
    <s v="Eve"/>
    <s v="East"/>
    <n v="2761.65"/>
    <n v="13"/>
    <s v="Food"/>
    <n v="2312.4499999999998"/>
    <n v="2504.6"/>
    <s v="Returning"/>
    <n v="0.06"/>
    <s v="Bank Transfer"/>
    <s v="Online"/>
    <s v="East-Eve"/>
  </r>
  <r>
    <n v="1093"/>
    <x v="51"/>
    <s v="Bob"/>
    <s v="West"/>
    <n v="3747.64"/>
    <n v="43"/>
    <s v="Electronics"/>
    <n v="1486.76"/>
    <n v="1505.44"/>
    <s v="New"/>
    <n v="0.08"/>
    <s v="Cash"/>
    <s v="Retail"/>
    <s v="West-Bob"/>
  </r>
  <r>
    <n v="1067"/>
    <x v="6"/>
    <s v="Bob"/>
    <s v="East"/>
    <n v="8963.93"/>
    <n v="17"/>
    <s v="Food"/>
    <n v="2831.58"/>
    <n v="3186.15"/>
    <s v="New"/>
    <n v="0.24"/>
    <s v="Bank Transfer"/>
    <s v="Retail"/>
    <s v="East-Bob"/>
  </r>
  <r>
    <n v="1076"/>
    <x v="268"/>
    <s v="Eve"/>
    <s v="North"/>
    <n v="6697.98"/>
    <n v="17"/>
    <s v="Clothing"/>
    <n v="604.08000000000004"/>
    <n v="624.71"/>
    <s v="New"/>
    <n v="0.14000000000000001"/>
    <s v="Bank Transfer"/>
    <s v="Retail"/>
    <s v="North-Eve"/>
  </r>
  <r>
    <n v="1026"/>
    <x v="82"/>
    <s v="Alice"/>
    <s v="South"/>
    <n v="7895.13"/>
    <n v="36"/>
    <s v="Clothing"/>
    <n v="3067.05"/>
    <n v="3386.33"/>
    <s v="New"/>
    <n v="0.2"/>
    <s v="Bank Transfer"/>
    <s v="Online"/>
    <s v="South-Alice"/>
  </r>
  <r>
    <n v="1016"/>
    <x v="172"/>
    <s v="Eve"/>
    <s v="West"/>
    <n v="4598.0200000000004"/>
    <n v="21"/>
    <s v="Electronics"/>
    <n v="2863.74"/>
    <n v="2953.91"/>
    <s v="New"/>
    <n v="0.1"/>
    <s v="Bank Transfer"/>
    <s v="Retail"/>
    <s v="West-Eve"/>
  </r>
  <r>
    <n v="1051"/>
    <x v="128"/>
    <s v="Eve"/>
    <s v="South"/>
    <n v="6339.45"/>
    <n v="8"/>
    <s v="Food"/>
    <n v="3970.37"/>
    <n v="4257.5199999999904"/>
    <s v="New"/>
    <n v="0.11"/>
    <s v="Cash"/>
    <s v="Retail"/>
    <s v="South-Eve"/>
  </r>
  <r>
    <n v="1086"/>
    <x v="269"/>
    <s v="Bob"/>
    <s v="West"/>
    <n v="2559"/>
    <n v="5"/>
    <s v="Electronics"/>
    <n v="4934.1000000000004"/>
    <n v="5191.0200000000004"/>
    <s v="New"/>
    <n v="0.3"/>
    <s v="Bank Transfer"/>
    <s v="Online"/>
    <s v="West-Bob"/>
  </r>
  <r>
    <n v="1057"/>
    <x v="27"/>
    <s v="Bob"/>
    <s v="East"/>
    <n v="7084.06"/>
    <n v="26"/>
    <s v="Clothing"/>
    <n v="1291.82"/>
    <n v="1308.4399999999901"/>
    <s v="Returning"/>
    <n v="7.0000000000000007E-2"/>
    <s v="Credit Card"/>
    <s v="Online"/>
    <s v="East-Bob"/>
  </r>
  <r>
    <n v="1029"/>
    <x v="131"/>
    <s v="Eve"/>
    <s v="East"/>
    <n v="4333.25"/>
    <n v="16"/>
    <s v="Electronics"/>
    <n v="2572.8000000000002"/>
    <n v="2760.6"/>
    <s v="Returning"/>
    <n v="0.15"/>
    <s v="Credit Card"/>
    <s v="Retail"/>
    <s v="East-Eve"/>
  </r>
  <r>
    <n v="1078"/>
    <x v="267"/>
    <s v="Eve"/>
    <s v="East"/>
    <n v="4481.2"/>
    <n v="36"/>
    <s v="Food"/>
    <n v="4548.88"/>
    <n v="4853.41"/>
    <s v="Returning"/>
    <n v="0.25"/>
    <s v="Credit Card"/>
    <s v="Retail"/>
    <s v="East-Eve"/>
  </r>
  <r>
    <n v="1092"/>
    <x v="24"/>
    <s v="Eve"/>
    <s v="East"/>
    <n v="6528.29"/>
    <n v="28"/>
    <s v="Clothing"/>
    <n v="3936.69"/>
    <n v="4362.51"/>
    <s v="Returning"/>
    <n v="7.0000000000000007E-2"/>
    <s v="Credit Card"/>
    <s v="Retail"/>
    <s v="East-Eve"/>
  </r>
  <r>
    <n v="1069"/>
    <x v="270"/>
    <s v="Bob"/>
    <s v="East"/>
    <n v="9369.18"/>
    <n v="29"/>
    <s v="Furniture"/>
    <n v="2462.66"/>
    <n v="2908.0899999999901"/>
    <s v="New"/>
    <n v="0.12"/>
    <s v="Credit Card"/>
    <s v="Online"/>
    <s v="East-Bob"/>
  </r>
  <r>
    <n v="1047"/>
    <x v="133"/>
    <s v="Eve"/>
    <s v="South"/>
    <n v="733.66"/>
    <n v="47"/>
    <s v="Clothing"/>
    <n v="4729.59"/>
    <n v="4976.68"/>
    <s v="Returning"/>
    <n v="0.18"/>
    <s v="Credit Card"/>
    <s v="Retail"/>
    <s v="South-Eve"/>
  </r>
  <r>
    <n v="1094"/>
    <x v="100"/>
    <s v="Eve"/>
    <s v="East"/>
    <n v="8264.9599999999991"/>
    <n v="12"/>
    <s v="Furniture"/>
    <n v="333.32"/>
    <n v="700.25"/>
    <s v="Returning"/>
    <n v="0.14000000000000001"/>
    <s v="Cash"/>
    <s v="Online"/>
    <s v="East-Eve"/>
  </r>
  <r>
    <n v="1062"/>
    <x v="2"/>
    <s v="David"/>
    <s v="North"/>
    <n v="2994.59"/>
    <n v="37"/>
    <s v="Electronics"/>
    <n v="4658.4399999999996"/>
    <n v="4823.5"/>
    <s v="Returning"/>
    <n v="0.14000000000000001"/>
    <s v="Credit Card"/>
    <s v="Online"/>
    <s v="North-David"/>
  </r>
  <r>
    <n v="1069"/>
    <x v="165"/>
    <s v="Alice"/>
    <s v="North"/>
    <n v="4494.8"/>
    <n v="30"/>
    <s v="Electronics"/>
    <n v="300.01"/>
    <n v="477.67999999999898"/>
    <s v="New"/>
    <n v="0.11"/>
    <s v="Bank Transfer"/>
    <s v="Retail"/>
    <s v="North-Alice"/>
  </r>
  <r>
    <n v="1076"/>
    <x v="228"/>
    <s v="Charlie"/>
    <s v="South"/>
    <n v="316.94"/>
    <n v="23"/>
    <s v="Food"/>
    <n v="2759.16"/>
    <n v="2864.45"/>
    <s v="Returning"/>
    <n v="0.18"/>
    <s v="Credit Card"/>
    <s v="Retail"/>
    <s v="South-Charlie"/>
  </r>
  <r>
    <n v="1016"/>
    <x v="186"/>
    <s v="Alice"/>
    <s v="West"/>
    <n v="3080.36"/>
    <n v="16"/>
    <s v="Furniture"/>
    <n v="4457.68"/>
    <n v="4743.03"/>
    <s v="Returning"/>
    <n v="0.19"/>
    <s v="Cash"/>
    <s v="Online"/>
    <s v="West-Alice"/>
  </r>
  <r>
    <n v="1090"/>
    <x v="18"/>
    <s v="David"/>
    <s v="North"/>
    <n v="5076.05"/>
    <n v="14"/>
    <s v="Electronics"/>
    <n v="1350.47"/>
    <n v="1514.61"/>
    <s v="New"/>
    <n v="0.2"/>
    <s v="Credit Card"/>
    <s v="Retail"/>
    <s v="North-David"/>
  </r>
  <r>
    <n v="1090"/>
    <x v="144"/>
    <s v="Charlie"/>
    <s v="West"/>
    <n v="656.14"/>
    <n v="10"/>
    <s v="Furniture"/>
    <n v="2387.63"/>
    <n v="2438.9699999999998"/>
    <s v="Returning"/>
    <n v="0.02"/>
    <s v="Bank Transfer"/>
    <s v="Retail"/>
    <s v="West-Charlie"/>
  </r>
  <r>
    <n v="1048"/>
    <x v="170"/>
    <s v="Eve"/>
    <s v="South"/>
    <n v="4961.8500000000004"/>
    <n v="7"/>
    <s v="Electronics"/>
    <n v="1655.43"/>
    <n v="2001.08"/>
    <s v="New"/>
    <n v="0.19"/>
    <s v="Bank Transfer"/>
    <s v="Online"/>
    <s v="South-Eve"/>
  </r>
  <r>
    <n v="1085"/>
    <x v="103"/>
    <s v="David"/>
    <s v="West"/>
    <n v="9278.4"/>
    <n v="45"/>
    <s v="Clothing"/>
    <n v="4763.1099999999997"/>
    <n v="5119.91"/>
    <s v="Returning"/>
    <n v="0.28999999999999998"/>
    <s v="Cash"/>
    <s v="Retail"/>
    <s v="West-David"/>
  </r>
  <r>
    <n v="1039"/>
    <x v="245"/>
    <s v="Eve"/>
    <s v="West"/>
    <n v="1143.3900000000001"/>
    <n v="37"/>
    <s v="Electronics"/>
    <n v="4127.05"/>
    <n v="4313.45"/>
    <s v="New"/>
    <n v="0.16"/>
    <s v="Cash"/>
    <s v="Online"/>
    <s v="West-Eve"/>
  </r>
  <r>
    <n v="1100"/>
    <x v="114"/>
    <s v="Bob"/>
    <s v="West"/>
    <n v="7667.96"/>
    <n v="29"/>
    <s v="Food"/>
    <n v="3559.56"/>
    <n v="3607.15"/>
    <s v="Returning"/>
    <n v="0.21"/>
    <s v="Cash"/>
    <s v="Retail"/>
    <s v="West-Bob"/>
  </r>
  <r>
    <n v="1033"/>
    <x v="229"/>
    <s v="David"/>
    <s v="West"/>
    <n v="4155.74"/>
    <n v="3"/>
    <s v="Clothing"/>
    <n v="2958.75"/>
    <n v="3177.64"/>
    <s v="Returning"/>
    <n v="0.17"/>
    <s v="Cash"/>
    <s v="Online"/>
    <s v="West-David"/>
  </r>
  <r>
    <n v="1094"/>
    <x v="13"/>
    <s v="Bob"/>
    <s v="South"/>
    <n v="6586.22"/>
    <n v="15"/>
    <s v="Food"/>
    <n v="4111.93"/>
    <n v="4338.67"/>
    <s v="Returning"/>
    <n v="0.26"/>
    <s v="Credit Card"/>
    <s v="Online"/>
    <s v="South-Bob"/>
  </r>
  <r>
    <n v="1023"/>
    <x v="45"/>
    <s v="David"/>
    <s v="North"/>
    <n v="2676.34"/>
    <n v="36"/>
    <s v="Clothing"/>
    <n v="1991.72"/>
    <n v="2329.37"/>
    <s v="New"/>
    <n v="0.28000000000000003"/>
    <s v="Credit Card"/>
    <s v="Retail"/>
    <s v="North-David"/>
  </r>
  <r>
    <n v="1010"/>
    <x v="57"/>
    <s v="David"/>
    <s v="East"/>
    <n v="1678.97"/>
    <n v="47"/>
    <s v="Furniture"/>
    <n v="2265.38"/>
    <n v="2429.9299999999998"/>
    <s v="Returning"/>
    <n v="0.06"/>
    <s v="Bank Transfer"/>
    <s v="Online"/>
    <s v="East-David"/>
  </r>
  <r>
    <n v="1069"/>
    <x v="108"/>
    <s v="Bob"/>
    <s v="West"/>
    <n v="1688.58"/>
    <n v="46"/>
    <s v="Food"/>
    <n v="3663.51"/>
    <n v="4007.98"/>
    <s v="New"/>
    <n v="0.13"/>
    <s v="Cash"/>
    <s v="Online"/>
    <s v="West-Bob"/>
  </r>
  <r>
    <n v="1100"/>
    <x v="199"/>
    <s v="Charlie"/>
    <s v="North"/>
    <n v="797.87"/>
    <n v="19"/>
    <s v="Electronics"/>
    <n v="1820.89"/>
    <n v="2257.92"/>
    <s v="New"/>
    <n v="0.12"/>
    <s v="Cash"/>
    <s v="Retail"/>
    <s v="North-Charlie"/>
  </r>
  <r>
    <n v="1034"/>
    <x v="271"/>
    <s v="Alice"/>
    <s v="North"/>
    <n v="1937.9"/>
    <n v="13"/>
    <s v="Furniture"/>
    <n v="366.31"/>
    <n v="492.68"/>
    <s v="New"/>
    <n v="0.12"/>
    <s v="Credit Card"/>
    <s v="Retail"/>
    <s v="North-Alice"/>
  </r>
  <r>
    <n v="1052"/>
    <x v="272"/>
    <s v="Eve"/>
    <s v="South"/>
    <n v="6675.77"/>
    <n v="42"/>
    <s v="Electronics"/>
    <n v="417.96"/>
    <n v="907.63"/>
    <s v="New"/>
    <n v="0.04"/>
    <s v="Cash"/>
    <s v="Retail"/>
    <s v="South-Eve"/>
  </r>
  <r>
    <n v="1095"/>
    <x v="9"/>
    <s v="David"/>
    <s v="North"/>
    <n v="8828.74"/>
    <n v="21"/>
    <s v="Clothing"/>
    <n v="621.04999999999995"/>
    <n v="820.36999999999898"/>
    <s v="Returning"/>
    <n v="0.24"/>
    <s v="Bank Transfer"/>
    <s v="Online"/>
    <s v="North-David"/>
  </r>
  <r>
    <n v="1010"/>
    <x v="126"/>
    <s v="Eve"/>
    <s v="South"/>
    <n v="8159.84"/>
    <n v="37"/>
    <s v="Clothing"/>
    <n v="4354.92"/>
    <n v="4495.88"/>
    <s v="Returning"/>
    <n v="0.01"/>
    <s v="Bank Transfer"/>
    <s v="Online"/>
    <s v="South-Eve"/>
  </r>
  <r>
    <n v="1019"/>
    <x v="259"/>
    <s v="Bob"/>
    <s v="West"/>
    <n v="6882.83"/>
    <n v="27"/>
    <s v="Electronics"/>
    <n v="2387.52"/>
    <n v="2604.06"/>
    <s v="Returning"/>
    <n v="0.16"/>
    <s v="Cash"/>
    <s v="Online"/>
    <s v="West-Bob"/>
  </r>
  <r>
    <n v="1058"/>
    <x v="93"/>
    <s v="Eve"/>
    <s v="West"/>
    <n v="1193.28"/>
    <n v="29"/>
    <s v="Electronics"/>
    <n v="3578.77"/>
    <n v="3635.02"/>
    <s v="New"/>
    <n v="0.2"/>
    <s v="Bank Transfer"/>
    <s v="Retail"/>
    <s v="West-Eve"/>
  </r>
  <r>
    <n v="1096"/>
    <x v="38"/>
    <s v="Bob"/>
    <s v="East"/>
    <n v="2962.96"/>
    <n v="20"/>
    <s v="Furniture"/>
    <n v="1994.9"/>
    <n v="2066.5"/>
    <s v="Returning"/>
    <n v="0.06"/>
    <s v="Bank Transfer"/>
    <s v="Online"/>
    <s v="East-Bob"/>
  </r>
  <r>
    <n v="1001"/>
    <x v="167"/>
    <s v="Eve"/>
    <s v="East"/>
    <n v="3167.09"/>
    <n v="25"/>
    <s v="Electronics"/>
    <n v="1330.62"/>
    <n v="1543.6899999999901"/>
    <s v="New"/>
    <n v="0.27"/>
    <s v="Credit Card"/>
    <s v="Online"/>
    <s v="East-Eve"/>
  </r>
  <r>
    <n v="1069"/>
    <x v="212"/>
    <s v="Alice"/>
    <s v="East"/>
    <n v="2574.5700000000002"/>
    <n v="6"/>
    <s v="Food"/>
    <n v="1768.6"/>
    <n v="2152.1999999999998"/>
    <s v="New"/>
    <n v="0.25"/>
    <s v="Bank Transfer"/>
    <s v="Retail"/>
    <s v="East-Alice"/>
  </r>
  <r>
    <n v="1004"/>
    <x v="28"/>
    <s v="Alice"/>
    <s v="North"/>
    <n v="5198.5600000000004"/>
    <n v="36"/>
    <s v="Food"/>
    <n v="3981.2"/>
    <n v="4432.3499999999904"/>
    <s v="New"/>
    <n v="0.14000000000000001"/>
    <s v="Cash"/>
    <s v="Online"/>
    <s v="North-Alice"/>
  </r>
  <r>
    <n v="1016"/>
    <x v="273"/>
    <s v="Alice"/>
    <s v="West"/>
    <n v="5401.98"/>
    <n v="2"/>
    <s v="Electronics"/>
    <n v="3144.82"/>
    <n v="3480.58"/>
    <s v="Returning"/>
    <n v="0.12"/>
    <s v="Cash"/>
    <s v="Retail"/>
    <s v="West-Alice"/>
  </r>
  <r>
    <n v="1024"/>
    <x v="90"/>
    <s v="Alice"/>
    <s v="South"/>
    <n v="3633.17"/>
    <n v="22"/>
    <s v="Food"/>
    <n v="4691.32"/>
    <n v="4752.88"/>
    <s v="Returning"/>
    <n v="7.0000000000000007E-2"/>
    <s v="Bank Transfer"/>
    <s v="Retail"/>
    <s v="South-Alice"/>
  </r>
  <r>
    <n v="1080"/>
    <x v="12"/>
    <s v="Alice"/>
    <s v="East"/>
    <n v="3602.51"/>
    <n v="32"/>
    <s v="Electronics"/>
    <n v="3414.54"/>
    <n v="3753.83"/>
    <s v="New"/>
    <n v="0.22"/>
    <s v="Cash"/>
    <s v="Retail"/>
    <s v="East-Alice"/>
  </r>
  <r>
    <n v="1002"/>
    <x v="186"/>
    <s v="Alice"/>
    <s v="South"/>
    <n v="8302.7000000000007"/>
    <n v="16"/>
    <s v="Furniture"/>
    <n v="2872.4"/>
    <n v="3193.76"/>
    <s v="Returning"/>
    <n v="0.04"/>
    <s v="Credit Card"/>
    <s v="Online"/>
    <s v="South-Alice"/>
  </r>
  <r>
    <n v="1092"/>
    <x v="218"/>
    <s v="Bob"/>
    <s v="South"/>
    <n v="7914"/>
    <n v="18"/>
    <s v="Food"/>
    <n v="3070.47"/>
    <n v="3475.29"/>
    <s v="Returning"/>
    <n v="0.2"/>
    <s v="Bank Transfer"/>
    <s v="Online"/>
    <s v="South-Bob"/>
  </r>
  <r>
    <n v="1032"/>
    <x v="34"/>
    <s v="David"/>
    <s v="East"/>
    <n v="3147.18"/>
    <n v="5"/>
    <s v="Food"/>
    <n v="4714.74"/>
    <n v="5129.1099999999997"/>
    <s v="New"/>
    <n v="0.25"/>
    <s v="Bank Transfer"/>
    <s v="Online"/>
    <s v="East-David"/>
  </r>
  <r>
    <n v="1091"/>
    <x v="274"/>
    <s v="Eve"/>
    <s v="West"/>
    <n v="9146.51"/>
    <n v="36"/>
    <s v="Electronics"/>
    <n v="3951.59"/>
    <n v="4387.01"/>
    <s v="New"/>
    <n v="7.0000000000000007E-2"/>
    <s v="Bank Transfer"/>
    <s v="Retail"/>
    <s v="West-Eve"/>
  </r>
  <r>
    <n v="1084"/>
    <x v="80"/>
    <s v="Alice"/>
    <s v="East"/>
    <n v="9532.8700000000008"/>
    <n v="30"/>
    <s v="Food"/>
    <n v="169"/>
    <n v="381.91999999999899"/>
    <s v="Returning"/>
    <n v="0.26"/>
    <s v="Cash"/>
    <s v="Retail"/>
    <s v="East-Alice"/>
  </r>
  <r>
    <n v="1024"/>
    <x v="107"/>
    <s v="Bob"/>
    <s v="South"/>
    <n v="3334.75"/>
    <n v="45"/>
    <s v="Clothing"/>
    <n v="2693.99"/>
    <n v="3045.9399999999901"/>
    <s v="New"/>
    <n v="0.01"/>
    <s v="Cash"/>
    <s v="Retail"/>
    <s v="South-Bob"/>
  </r>
  <r>
    <n v="1012"/>
    <x v="130"/>
    <s v="Bob"/>
    <s v="East"/>
    <n v="3608.81"/>
    <n v="19"/>
    <s v="Furniture"/>
    <n v="3457.28"/>
    <n v="3598.72"/>
    <s v="New"/>
    <n v="0.27"/>
    <s v="Bank Transfer"/>
    <s v="Online"/>
    <s v="East-Bob"/>
  </r>
  <r>
    <n v="1050"/>
    <x v="26"/>
    <s v="Bob"/>
    <s v="South"/>
    <n v="5105.78"/>
    <n v="23"/>
    <s v="Furniture"/>
    <n v="3756.06"/>
    <n v="4255.7299999999996"/>
    <s v="Returning"/>
    <n v="0.04"/>
    <s v="Cash"/>
    <s v="Online"/>
    <s v="South-Bob"/>
  </r>
  <r>
    <n v="1035"/>
    <x v="264"/>
    <s v="David"/>
    <s v="South"/>
    <n v="9417.1"/>
    <n v="34"/>
    <s v="Food"/>
    <n v="1105.05"/>
    <n v="1200.96"/>
    <s v="Returning"/>
    <n v="0.19"/>
    <s v="Cash"/>
    <s v="Online"/>
    <s v="South-David"/>
  </r>
  <r>
    <n v="1033"/>
    <x v="217"/>
    <s v="Eve"/>
    <s v="East"/>
    <n v="8775.56"/>
    <n v="13"/>
    <s v="Food"/>
    <n v="4342.53"/>
    <n v="4357.49"/>
    <s v="New"/>
    <n v="0.08"/>
    <s v="Bank Transfer"/>
    <s v="Online"/>
    <s v="East-Eve"/>
  </r>
  <r>
    <n v="1033"/>
    <x v="275"/>
    <s v="David"/>
    <s v="North"/>
    <n v="1115.42"/>
    <n v="43"/>
    <s v="Clothing"/>
    <n v="4781.42"/>
    <n v="4864.34"/>
    <s v="Returning"/>
    <n v="0.25"/>
    <s v="Bank Transfer"/>
    <s v="Online"/>
    <s v="North-David"/>
  </r>
  <r>
    <n v="1061"/>
    <x v="238"/>
    <s v="Charlie"/>
    <s v="East"/>
    <n v="3988.03"/>
    <n v="29"/>
    <s v="Clothing"/>
    <n v="1221.74"/>
    <n v="1611.92"/>
    <s v="New"/>
    <n v="0.15"/>
    <s v="Cash"/>
    <s v="Retail"/>
    <s v="East-Charlie"/>
  </r>
  <r>
    <n v="1051"/>
    <x v="198"/>
    <s v="Bob"/>
    <s v="North"/>
    <n v="5578.37"/>
    <n v="36"/>
    <s v="Food"/>
    <n v="4418.95"/>
    <n v="4647.87"/>
    <s v="New"/>
    <n v="0.04"/>
    <s v="Bank Transfer"/>
    <s v="Online"/>
    <s v="North-Bob"/>
  </r>
  <r>
    <n v="1043"/>
    <x v="62"/>
    <s v="Charlie"/>
    <s v="South"/>
    <n v="5081.01"/>
    <n v="22"/>
    <s v="Food"/>
    <n v="530.04"/>
    <n v="759.31999999999903"/>
    <s v="Returning"/>
    <n v="0.17"/>
    <s v="Bank Transfer"/>
    <s v="Retail"/>
    <s v="South-Charlie"/>
  </r>
  <r>
    <n v="1012"/>
    <x v="151"/>
    <s v="Alice"/>
    <s v="South"/>
    <n v="2019.24"/>
    <n v="47"/>
    <s v="Clothing"/>
    <n v="325.75"/>
    <n v="803.71"/>
    <s v="New"/>
    <n v="0.12"/>
    <s v="Bank Transfer"/>
    <s v="Retail"/>
    <s v="South-Alice"/>
  </r>
  <r>
    <n v="1067"/>
    <x v="276"/>
    <s v="Alice"/>
    <s v="North"/>
    <n v="8602.2900000000009"/>
    <n v="36"/>
    <s v="Electronics"/>
    <n v="689.66"/>
    <n v="1150.28"/>
    <s v="New"/>
    <n v="0.2"/>
    <s v="Bank Transfer"/>
    <s v="Online"/>
    <s v="North-Alice"/>
  </r>
  <r>
    <n v="1065"/>
    <x v="174"/>
    <s v="David"/>
    <s v="South"/>
    <n v="6801.71"/>
    <n v="9"/>
    <s v="Clothing"/>
    <n v="335.82"/>
    <n v="498.31"/>
    <s v="New"/>
    <n v="0.26"/>
    <s v="Cash"/>
    <s v="Retail"/>
    <s v="South-David"/>
  </r>
  <r>
    <n v="1033"/>
    <x v="118"/>
    <s v="Eve"/>
    <s v="North"/>
    <n v="8395.2900000000009"/>
    <n v="39"/>
    <s v="Electronics"/>
    <n v="4232.8100000000004"/>
    <n v="4345.25"/>
    <s v="Returning"/>
    <n v="0.12"/>
    <s v="Bank Transfer"/>
    <s v="Online"/>
    <s v="North-Eve"/>
  </r>
  <r>
    <n v="1040"/>
    <x v="120"/>
    <s v="Charlie"/>
    <s v="North"/>
    <n v="8601.77"/>
    <n v="19"/>
    <s v="Furniture"/>
    <n v="342.3"/>
    <n v="768.06"/>
    <s v="Returning"/>
    <n v="0.09"/>
    <s v="Credit Card"/>
    <s v="Online"/>
    <s v="North-Charlie"/>
  </r>
  <r>
    <n v="1074"/>
    <x v="21"/>
    <s v="Eve"/>
    <s v="South"/>
    <n v="7508.72"/>
    <n v="38"/>
    <s v="Furniture"/>
    <n v="1394.74"/>
    <n v="1848.69"/>
    <s v="Returning"/>
    <n v="0"/>
    <s v="Bank Transfer"/>
    <s v="Retail"/>
    <s v="South-Eve"/>
  </r>
  <r>
    <n v="1043"/>
    <x v="89"/>
    <s v="David"/>
    <s v="West"/>
    <n v="4448.18"/>
    <n v="6"/>
    <s v="Clothing"/>
    <n v="563.59"/>
    <n v="838.97"/>
    <s v="New"/>
    <n v="0.17"/>
    <s v="Credit Card"/>
    <s v="Online"/>
    <s v="West-David"/>
  </r>
  <r>
    <n v="1044"/>
    <x v="150"/>
    <s v="Alice"/>
    <s v="North"/>
    <n v="6144.41"/>
    <n v="47"/>
    <s v="Electronics"/>
    <n v="1512.34"/>
    <n v="1830.76"/>
    <s v="New"/>
    <n v="0.12"/>
    <s v="Bank Transfer"/>
    <s v="Online"/>
    <s v="North-Alice"/>
  </r>
  <r>
    <n v="1029"/>
    <x v="67"/>
    <s v="Eve"/>
    <s v="East"/>
    <n v="1687.62"/>
    <n v="15"/>
    <s v="Clothing"/>
    <n v="498.27"/>
    <n v="634.16"/>
    <s v="Returning"/>
    <n v="0.11"/>
    <s v="Credit Card"/>
    <s v="Retail"/>
    <s v="East-Eve"/>
  </r>
  <r>
    <n v="1013"/>
    <x v="271"/>
    <s v="Eve"/>
    <s v="East"/>
    <n v="6769.09"/>
    <n v="20"/>
    <s v="Clothing"/>
    <n v="3356.62"/>
    <n v="3759.0099999999902"/>
    <s v="Returning"/>
    <n v="0.05"/>
    <s v="Credit Card"/>
    <s v="Retail"/>
    <s v="East-Eve"/>
  </r>
  <r>
    <n v="1012"/>
    <x v="264"/>
    <s v="Alice"/>
    <s v="South"/>
    <n v="1874.61"/>
    <n v="9"/>
    <s v="Electronics"/>
    <n v="709.97"/>
    <n v="1029.71"/>
    <s v="Returning"/>
    <n v="0.13"/>
    <s v="Bank Transfer"/>
    <s v="Retail"/>
    <s v="South-Alice"/>
  </r>
  <r>
    <n v="1095"/>
    <x v="27"/>
    <s v="Charlie"/>
    <s v="West"/>
    <n v="6970.1"/>
    <n v="32"/>
    <s v="Clothing"/>
    <n v="4266.6400000000003"/>
    <n v="4523.3599999999997"/>
    <s v="New"/>
    <n v="0.3"/>
    <s v="Bank Transfer"/>
    <s v="Retail"/>
    <s v="West-Charlie"/>
  </r>
  <r>
    <n v="1046"/>
    <x v="257"/>
    <s v="Alice"/>
    <s v="South"/>
    <n v="2373.02"/>
    <n v="4"/>
    <s v="Furniture"/>
    <n v="4095.1"/>
    <n v="4134.55"/>
    <s v="Returning"/>
    <n v="0.09"/>
    <s v="Bank Transfer"/>
    <s v="Retail"/>
    <s v="South-Alice"/>
  </r>
  <r>
    <n v="1002"/>
    <x v="277"/>
    <s v="Eve"/>
    <s v="West"/>
    <n v="1263.76"/>
    <n v="18"/>
    <s v="Food"/>
    <n v="117.63"/>
    <n v="576.44000000000005"/>
    <s v="New"/>
    <n v="0.18"/>
    <s v="Credit Card"/>
    <s v="Retail"/>
    <s v="West-Eve"/>
  </r>
  <r>
    <n v="1035"/>
    <x v="0"/>
    <s v="Charlie"/>
    <s v="North"/>
    <n v="1736.32"/>
    <n v="5"/>
    <s v="Food"/>
    <n v="4483.8500000000004"/>
    <n v="4795.42"/>
    <s v="Returning"/>
    <n v="0.23"/>
    <s v="Cash"/>
    <s v="Online"/>
    <s v="North-Charlie"/>
  </r>
  <r>
    <n v="1087"/>
    <x v="175"/>
    <s v="Charlie"/>
    <s v="North"/>
    <n v="119.72"/>
    <n v="20"/>
    <s v="Clothing"/>
    <n v="193.27"/>
    <n v="297.69"/>
    <s v="New"/>
    <n v="0.22"/>
    <s v="Cash"/>
    <s v="Online"/>
    <s v="North-Charlie"/>
  </r>
  <r>
    <n v="1081"/>
    <x v="29"/>
    <s v="Alice"/>
    <s v="North"/>
    <n v="7215.52"/>
    <n v="23"/>
    <s v="Electronics"/>
    <n v="1236.25"/>
    <n v="1543.38"/>
    <s v="New"/>
    <n v="0.1"/>
    <s v="Bank Transfer"/>
    <s v="Online"/>
    <s v="North-Alice"/>
  </r>
  <r>
    <n v="1090"/>
    <x v="278"/>
    <s v="Eve"/>
    <s v="North"/>
    <n v="7350.77"/>
    <n v="11"/>
    <s v="Electronics"/>
    <n v="210.33"/>
    <n v="552.29"/>
    <s v="Returning"/>
    <n v="0.18"/>
    <s v="Cash"/>
    <s v="Retail"/>
    <s v="North-Eve"/>
  </r>
  <r>
    <n v="1008"/>
    <x v="149"/>
    <s v="David"/>
    <s v="East"/>
    <n v="5197.84"/>
    <n v="37"/>
    <s v="Furniture"/>
    <n v="1712.43"/>
    <n v="1980.06"/>
    <s v="New"/>
    <n v="0.26"/>
    <s v="Cash"/>
    <s v="Online"/>
    <s v="East-David"/>
  </r>
  <r>
    <n v="1093"/>
    <x v="279"/>
    <s v="Eve"/>
    <s v="East"/>
    <n v="1697.49"/>
    <n v="22"/>
    <s v="Electronics"/>
    <n v="2593.64"/>
    <n v="2955.5099999999902"/>
    <s v="Returning"/>
    <n v="0"/>
    <s v="Bank Transfer"/>
    <s v="Retail"/>
    <s v="East-Eve"/>
  </r>
  <r>
    <n v="1026"/>
    <x v="209"/>
    <s v="Bob"/>
    <s v="South"/>
    <n v="927.19"/>
    <n v="4"/>
    <s v="Electronics"/>
    <n v="3993.39"/>
    <n v="4288.3"/>
    <s v="New"/>
    <n v="0.13"/>
    <s v="Credit Card"/>
    <s v="Online"/>
    <s v="South-Bob"/>
  </r>
  <r>
    <n v="1074"/>
    <x v="257"/>
    <s v="David"/>
    <s v="West"/>
    <n v="289.38"/>
    <n v="29"/>
    <s v="Furniture"/>
    <n v="1723.01"/>
    <n v="2197.42"/>
    <s v="New"/>
    <n v="7.0000000000000007E-2"/>
    <s v="Bank Transfer"/>
    <s v="Retail"/>
    <s v="West-David"/>
  </r>
  <r>
    <n v="1090"/>
    <x v="118"/>
    <s v="Charlie"/>
    <s v="North"/>
    <n v="1740.91"/>
    <n v="44"/>
    <s v="Clothing"/>
    <n v="3542.18"/>
    <n v="3578.49"/>
    <s v="Returning"/>
    <n v="0.12"/>
    <s v="Cash"/>
    <s v="Online"/>
    <s v="North-Charlie"/>
  </r>
  <r>
    <n v="1034"/>
    <x v="146"/>
    <s v="David"/>
    <s v="North"/>
    <n v="8919.4699999999993"/>
    <n v="34"/>
    <s v="Food"/>
    <n v="978.15"/>
    <n v="1040.21"/>
    <s v="New"/>
    <n v="0.12"/>
    <s v="Credit Card"/>
    <s v="Retail"/>
    <s v="North-David"/>
  </r>
  <r>
    <n v="1007"/>
    <x v="157"/>
    <s v="Charlie"/>
    <s v="West"/>
    <n v="2491.21"/>
    <n v="13"/>
    <s v="Furniture"/>
    <n v="3765.46"/>
    <n v="3860.56"/>
    <s v="Returning"/>
    <n v="0.22"/>
    <s v="Cash"/>
    <s v="Retail"/>
    <s v="West-Charlie"/>
  </r>
  <r>
    <n v="1068"/>
    <x v="24"/>
    <s v="Charlie"/>
    <s v="West"/>
    <n v="3607.29"/>
    <n v="42"/>
    <s v="Clothing"/>
    <n v="1218.18"/>
    <n v="1566.36"/>
    <s v="Returning"/>
    <n v="0.03"/>
    <s v="Credit Card"/>
    <s v="Retail"/>
    <s v="West-Charlie"/>
  </r>
  <r>
    <n v="1058"/>
    <x v="280"/>
    <s v="David"/>
    <s v="South"/>
    <n v="1142.92"/>
    <n v="9"/>
    <s v="Furniture"/>
    <n v="760.55"/>
    <n v="1086.8899999999901"/>
    <s v="Returning"/>
    <n v="0.15"/>
    <s v="Cash"/>
    <s v="Retail"/>
    <s v="South-David"/>
  </r>
  <r>
    <n v="1075"/>
    <x v="3"/>
    <s v="Charlie"/>
    <s v="West"/>
    <n v="2301.38"/>
    <n v="42"/>
    <s v="Clothing"/>
    <n v="967.77"/>
    <n v="1414.88"/>
    <s v="New"/>
    <n v="0.17"/>
    <s v="Bank Transfer"/>
    <s v="Online"/>
    <s v="West-Charlie"/>
  </r>
  <r>
    <n v="1029"/>
    <x v="281"/>
    <s v="Charlie"/>
    <s v="North"/>
    <n v="5240.32"/>
    <n v="31"/>
    <s v="Furniture"/>
    <n v="951.21"/>
    <n v="1320.32"/>
    <s v="New"/>
    <n v="0.15"/>
    <s v="Cash"/>
    <s v="Online"/>
    <s v="North-Charlie"/>
  </r>
  <r>
    <n v="1036"/>
    <x v="282"/>
    <s v="Bob"/>
    <s v="North"/>
    <n v="6116.75"/>
    <n v="7"/>
    <s v="Clothing"/>
    <n v="2588.67"/>
    <n v="2847.76"/>
    <s v="New"/>
    <n v="0.22"/>
    <s v="Cash"/>
    <s v="Retail"/>
    <s v="North-Bob"/>
  </r>
  <r>
    <n v="1089"/>
    <x v="3"/>
    <s v="Eve"/>
    <s v="North"/>
    <n v="2528.9899999999998"/>
    <n v="4"/>
    <s v="Furniture"/>
    <n v="4231.75"/>
    <n v="4727.75"/>
    <s v="Returning"/>
    <n v="0.12"/>
    <s v="Credit Card"/>
    <s v="Retail"/>
    <s v="North-Eve"/>
  </r>
  <r>
    <n v="1021"/>
    <x v="208"/>
    <s v="Eve"/>
    <s v="North"/>
    <n v="671.55"/>
    <n v="19"/>
    <s v="Clothing"/>
    <n v="444.05"/>
    <n v="584.44000000000005"/>
    <s v="Returning"/>
    <n v="0.28000000000000003"/>
    <s v="Cash"/>
    <s v="Retail"/>
    <s v="North-Eve"/>
  </r>
  <r>
    <n v="1036"/>
    <x v="199"/>
    <s v="Bob"/>
    <s v="North"/>
    <n v="3971.23"/>
    <n v="42"/>
    <s v="Furniture"/>
    <n v="3549.43"/>
    <n v="3967.6899999999901"/>
    <s v="New"/>
    <n v="0.14000000000000001"/>
    <s v="Bank Transfer"/>
    <s v="Online"/>
    <s v="North-Bob"/>
  </r>
  <r>
    <n v="1010"/>
    <x v="197"/>
    <s v="David"/>
    <s v="South"/>
    <n v="2418.61"/>
    <n v="30"/>
    <s v="Food"/>
    <n v="3289.01"/>
    <n v="3508.14"/>
    <s v="New"/>
    <n v="0.17"/>
    <s v="Bank Transfer"/>
    <s v="Retail"/>
    <s v="South-David"/>
  </r>
  <r>
    <n v="1073"/>
    <x v="283"/>
    <s v="Alice"/>
    <s v="North"/>
    <n v="2273.58"/>
    <n v="31"/>
    <s v="Food"/>
    <n v="4368.97"/>
    <n v="4696.8500000000004"/>
    <s v="Returning"/>
    <n v="0.25"/>
    <s v="Bank Transfer"/>
    <s v="Retail"/>
    <s v="North-Alice"/>
  </r>
  <r>
    <n v="1024"/>
    <x v="284"/>
    <s v="Alice"/>
    <s v="South"/>
    <n v="9602.64"/>
    <n v="35"/>
    <s v="Electronics"/>
    <n v="1258.53"/>
    <n v="1624.8899999999901"/>
    <s v="New"/>
    <n v="0.08"/>
    <s v="Credit Card"/>
    <s v="Online"/>
    <s v="South-Alice"/>
  </r>
  <r>
    <n v="1064"/>
    <x v="177"/>
    <s v="Alice"/>
    <s v="North"/>
    <n v="6201.37"/>
    <n v="21"/>
    <s v="Clothing"/>
    <n v="2278.04"/>
    <n v="2598.58"/>
    <s v="Returning"/>
    <n v="0.02"/>
    <s v="Credit Card"/>
    <s v="Retail"/>
    <s v="North-Alice"/>
  </r>
  <r>
    <n v="1099"/>
    <x v="285"/>
    <s v="Bob"/>
    <s v="East"/>
    <n v="5613.1"/>
    <n v="31"/>
    <s v="Furniture"/>
    <n v="4632.8500000000004"/>
    <n v="4711.7"/>
    <s v="New"/>
    <n v="0.21"/>
    <s v="Cash"/>
    <s v="Retail"/>
    <s v="East-Bob"/>
  </r>
  <r>
    <n v="1049"/>
    <x v="60"/>
    <s v="Bob"/>
    <s v="East"/>
    <n v="4216.17"/>
    <n v="19"/>
    <s v="Clothing"/>
    <n v="3316.97"/>
    <n v="3544.02"/>
    <s v="Returning"/>
    <n v="0.14000000000000001"/>
    <s v="Cash"/>
    <s v="Online"/>
    <s v="East-Bob"/>
  </r>
  <r>
    <n v="1099"/>
    <x v="189"/>
    <s v="Charlie"/>
    <s v="East"/>
    <n v="4346.55"/>
    <n v="31"/>
    <s v="Food"/>
    <n v="1974.4"/>
    <n v="2259.5"/>
    <s v="New"/>
    <n v="0.27"/>
    <s v="Cash"/>
    <s v="Retail"/>
    <s v="East-Charlie"/>
  </r>
  <r>
    <n v="1036"/>
    <x v="50"/>
    <s v="Alice"/>
    <s v="East"/>
    <n v="5454.96"/>
    <n v="32"/>
    <s v="Clothing"/>
    <n v="700.49"/>
    <n v="1126.52"/>
    <s v="New"/>
    <n v="0.28999999999999998"/>
    <s v="Credit Card"/>
    <s v="Retail"/>
    <s v="East-Alice"/>
  </r>
  <r>
    <n v="1082"/>
    <x v="239"/>
    <s v="David"/>
    <s v="South"/>
    <n v="6994.66"/>
    <n v="2"/>
    <s v="Furniture"/>
    <n v="1349.3"/>
    <n v="1576.69"/>
    <s v="Returning"/>
    <n v="0.12"/>
    <s v="Credit Card"/>
    <s v="Online"/>
    <s v="South-David"/>
  </r>
  <r>
    <n v="1096"/>
    <x v="62"/>
    <s v="David"/>
    <s v="South"/>
    <n v="7051.25"/>
    <n v="10"/>
    <s v="Clothing"/>
    <n v="2927.02"/>
    <n v="3387.21"/>
    <s v="Returning"/>
    <n v="0.12"/>
    <s v="Cash"/>
    <s v="Retail"/>
    <s v="South-David"/>
  </r>
  <r>
    <n v="1024"/>
    <x v="115"/>
    <s v="Alice"/>
    <s v="West"/>
    <n v="1799.77"/>
    <n v="2"/>
    <s v="Furniture"/>
    <n v="3604.93"/>
    <n v="3830.71"/>
    <s v="Returning"/>
    <n v="0.12"/>
    <s v="Credit Card"/>
    <s v="Online"/>
    <s v="West-Alice"/>
  </r>
  <r>
    <n v="1023"/>
    <x v="251"/>
    <s v="Alice"/>
    <s v="North"/>
    <n v="5051.12"/>
    <n v="2"/>
    <s v="Food"/>
    <n v="665.89"/>
    <n v="944.79"/>
    <s v="New"/>
    <n v="0.1"/>
    <s v="Credit Card"/>
    <s v="Retail"/>
    <s v="North-Alice"/>
  </r>
  <r>
    <n v="1062"/>
    <x v="260"/>
    <s v="Alice"/>
    <s v="East"/>
    <n v="4178.3900000000003"/>
    <n v="24"/>
    <s v="Food"/>
    <n v="3018.01"/>
    <n v="3418.19"/>
    <s v="Returning"/>
    <n v="0.23"/>
    <s v="Bank Transfer"/>
    <s v="Retail"/>
    <s v="East-Alice"/>
  </r>
  <r>
    <n v="1096"/>
    <x v="82"/>
    <s v="Bob"/>
    <s v="South"/>
    <n v="8718.2199999999993"/>
    <n v="17"/>
    <s v="Food"/>
    <n v="2774.24"/>
    <n v="3069.9399999999901"/>
    <s v="Returning"/>
    <n v="0.23"/>
    <s v="Bank Transfer"/>
    <s v="Retail"/>
    <s v="South-Bob"/>
  </r>
  <r>
    <n v="1037"/>
    <x v="176"/>
    <s v="Bob"/>
    <s v="North"/>
    <n v="6351.05"/>
    <n v="32"/>
    <s v="Electronics"/>
    <n v="2594.08"/>
    <n v="3074.59"/>
    <s v="New"/>
    <n v="0.14000000000000001"/>
    <s v="Cash"/>
    <s v="Retail"/>
    <s v="North-Bob"/>
  </r>
  <r>
    <n v="1012"/>
    <x v="56"/>
    <s v="Bob"/>
    <s v="North"/>
    <n v="5371.79"/>
    <n v="16"/>
    <s v="Food"/>
    <n v="3466.11"/>
    <n v="3799.67"/>
    <s v="Returning"/>
    <n v="0.01"/>
    <s v="Cash"/>
    <s v="Retail"/>
    <s v="North-Bob"/>
  </r>
  <r>
    <n v="1055"/>
    <x v="255"/>
    <s v="Eve"/>
    <s v="South"/>
    <n v="1242.4100000000001"/>
    <n v="16"/>
    <s v="Clothing"/>
    <n v="4195.38"/>
    <n v="4461.51"/>
    <s v="Returning"/>
    <n v="0.09"/>
    <s v="Bank Transfer"/>
    <s v="Online"/>
    <s v="South-Eve"/>
  </r>
  <r>
    <n v="1013"/>
    <x v="62"/>
    <s v="David"/>
    <s v="East"/>
    <n v="6095.82"/>
    <n v="46"/>
    <s v="Electronics"/>
    <n v="1648.8"/>
    <n v="1670.36"/>
    <s v="Returning"/>
    <n v="0.09"/>
    <s v="Credit Card"/>
    <s v="Retail"/>
    <s v="East-David"/>
  </r>
  <r>
    <n v="1023"/>
    <x v="263"/>
    <s v="David"/>
    <s v="West"/>
    <n v="1260.32"/>
    <n v="39"/>
    <s v="Food"/>
    <n v="4450.6099999999997"/>
    <n v="4663.3399999999901"/>
    <s v="New"/>
    <n v="0.24"/>
    <s v="Cash"/>
    <s v="Retail"/>
    <s v="West-David"/>
  </r>
  <r>
    <n v="1089"/>
    <x v="18"/>
    <s v="Charlie"/>
    <s v="North"/>
    <n v="3438.35"/>
    <n v="31"/>
    <s v="Clothing"/>
    <n v="845.14"/>
    <n v="1001.77"/>
    <s v="New"/>
    <n v="0.03"/>
    <s v="Cash"/>
    <s v="Online"/>
    <s v="North-Charlie"/>
  </r>
  <r>
    <n v="1099"/>
    <x v="105"/>
    <s v="Bob"/>
    <s v="West"/>
    <n v="1514.14"/>
    <n v="43"/>
    <s v="Clothing"/>
    <n v="906.47"/>
    <n v="1283.04"/>
    <s v="New"/>
    <n v="0.24"/>
    <s v="Cash"/>
    <s v="Online"/>
    <s v="West-Bob"/>
  </r>
  <r>
    <n v="1030"/>
    <x v="78"/>
    <s v="Eve"/>
    <s v="East"/>
    <n v="6951.53"/>
    <n v="24"/>
    <s v="Clothing"/>
    <n v="1370.52"/>
    <n v="1482.58"/>
    <s v="Returning"/>
    <n v="0.2"/>
    <s v="Credit Card"/>
    <s v="Retail"/>
    <s v="East-Eve"/>
  </r>
  <r>
    <n v="1017"/>
    <x v="146"/>
    <s v="Eve"/>
    <s v="East"/>
    <n v="2141.9"/>
    <n v="1"/>
    <s v="Furniture"/>
    <n v="641.67999999999995"/>
    <n v="752.24"/>
    <s v="New"/>
    <n v="0.22"/>
    <s v="Bank Transfer"/>
    <s v="Online"/>
    <s v="East-Eve"/>
  </r>
  <r>
    <n v="1062"/>
    <x v="176"/>
    <s v="David"/>
    <s v="West"/>
    <n v="3979.41"/>
    <n v="11"/>
    <s v="Electronics"/>
    <n v="1190.08"/>
    <n v="1292.9399999999901"/>
    <s v="Returning"/>
    <n v="0.13"/>
    <s v="Cash"/>
    <s v="Retail"/>
    <s v="West-David"/>
  </r>
  <r>
    <n v="1084"/>
    <x v="142"/>
    <s v="Bob"/>
    <s v="East"/>
    <n v="8967.18"/>
    <n v="21"/>
    <s v="Clothing"/>
    <n v="576.74"/>
    <n v="648.29"/>
    <s v="Returning"/>
    <n v="0.2"/>
    <s v="Bank Transfer"/>
    <s v="Online"/>
    <s v="East-Bob"/>
  </r>
  <r>
    <n v="1089"/>
    <x v="42"/>
    <s v="Charlie"/>
    <s v="North"/>
    <n v="2122.73"/>
    <n v="4"/>
    <s v="Furniture"/>
    <n v="4117.67"/>
    <n v="4280.0600000000004"/>
    <s v="Returning"/>
    <n v="0.18"/>
    <s v="Bank Transfer"/>
    <s v="Online"/>
    <s v="North-Charlie"/>
  </r>
  <r>
    <n v="1086"/>
    <x v="65"/>
    <s v="Bob"/>
    <s v="West"/>
    <n v="5127.2700000000004"/>
    <n v="7"/>
    <s v="Food"/>
    <n v="737.9"/>
    <n v="1182"/>
    <s v="New"/>
    <n v="0.23"/>
    <s v="Credit Card"/>
    <s v="Retail"/>
    <s v="West-Bob"/>
  </r>
  <r>
    <n v="1013"/>
    <x v="11"/>
    <s v="Alice"/>
    <s v="East"/>
    <n v="4250.79"/>
    <n v="26"/>
    <s v="Clothing"/>
    <n v="3749.12"/>
    <n v="4138.83"/>
    <s v="New"/>
    <n v="0.13"/>
    <s v="Credit Card"/>
    <s v="Online"/>
    <s v="East-Alice"/>
  </r>
  <r>
    <n v="1059"/>
    <x v="115"/>
    <s v="Bob"/>
    <s v="West"/>
    <n v="279.43"/>
    <n v="47"/>
    <s v="Furniture"/>
    <n v="287.17"/>
    <n v="657.44"/>
    <s v="Returning"/>
    <n v="0.14000000000000001"/>
    <s v="Credit Card"/>
    <s v="Retail"/>
    <s v="West-Bob"/>
  </r>
  <r>
    <n v="1019"/>
    <x v="272"/>
    <s v="Alice"/>
    <s v="North"/>
    <n v="7948.31"/>
    <n v="12"/>
    <s v="Clothing"/>
    <n v="4745.18"/>
    <n v="5145.88"/>
    <s v="Returning"/>
    <n v="0.19"/>
    <s v="Credit Card"/>
    <s v="Online"/>
    <s v="North-Alice"/>
  </r>
  <r>
    <n v="1049"/>
    <x v="286"/>
    <s v="Alice"/>
    <s v="East"/>
    <n v="783.55"/>
    <n v="31"/>
    <s v="Electronics"/>
    <n v="3570.24"/>
    <n v="3712.25"/>
    <s v="New"/>
    <n v="0.03"/>
    <s v="Credit Card"/>
    <s v="Online"/>
    <s v="East-Alice"/>
  </r>
  <r>
    <n v="1100"/>
    <x v="287"/>
    <s v="Charlie"/>
    <s v="North"/>
    <n v="4795.12"/>
    <n v="17"/>
    <s v="Electronics"/>
    <n v="83.64"/>
    <n v="528.49"/>
    <s v="New"/>
    <n v="0.13"/>
    <s v="Credit Card"/>
    <s v="Online"/>
    <s v="North-Charlie"/>
  </r>
  <r>
    <n v="1012"/>
    <x v="229"/>
    <s v="David"/>
    <s v="East"/>
    <n v="5650.72"/>
    <n v="33"/>
    <s v="Food"/>
    <n v="3831.09"/>
    <n v="3908.37"/>
    <s v="New"/>
    <n v="0.28999999999999998"/>
    <s v="Cash"/>
    <s v="Retail"/>
    <s v="East-David"/>
  </r>
  <r>
    <n v="1061"/>
    <x v="288"/>
    <s v="Bob"/>
    <s v="South"/>
    <n v="6321.42"/>
    <n v="11"/>
    <s v="Clothing"/>
    <n v="2594.71"/>
    <n v="2769.52"/>
    <s v="Returning"/>
    <n v="0.01"/>
    <s v="Bank Transfer"/>
    <s v="Retail"/>
    <s v="South-Bob"/>
  </r>
  <r>
    <n v="1019"/>
    <x v="141"/>
    <s v="Alice"/>
    <s v="East"/>
    <n v="6917.45"/>
    <n v="28"/>
    <s v="Furniture"/>
    <n v="3907.86"/>
    <n v="4205.37"/>
    <s v="New"/>
    <n v="0.09"/>
    <s v="Credit Card"/>
    <s v="Online"/>
    <s v="East-Alice"/>
  </r>
  <r>
    <n v="1076"/>
    <x v="89"/>
    <s v="Bob"/>
    <s v="West"/>
    <n v="2607.4"/>
    <n v="32"/>
    <s v="Food"/>
    <n v="2636.36"/>
    <n v="2696.78"/>
    <s v="New"/>
    <n v="0.09"/>
    <s v="Cash"/>
    <s v="Retail"/>
    <s v="West-Bob"/>
  </r>
  <r>
    <n v="1009"/>
    <x v="113"/>
    <s v="David"/>
    <s v="East"/>
    <n v="198.79"/>
    <n v="1"/>
    <s v="Clothing"/>
    <n v="3223.07"/>
    <n v="3590.83"/>
    <s v="New"/>
    <n v="0.19"/>
    <s v="Bank Transfer"/>
    <s v="Retail"/>
    <s v="East-David"/>
  </r>
  <r>
    <n v="1071"/>
    <x v="250"/>
    <s v="David"/>
    <s v="North"/>
    <n v="7262.09"/>
    <n v="47"/>
    <s v="Food"/>
    <n v="3942.34"/>
    <n v="4142.09"/>
    <s v="Returning"/>
    <n v="0.03"/>
    <s v="Credit Card"/>
    <s v="Retail"/>
    <s v="North-David"/>
  </r>
  <r>
    <n v="1028"/>
    <x v="30"/>
    <s v="Eve"/>
    <s v="North"/>
    <n v="5403"/>
    <n v="28"/>
    <s v="Furniture"/>
    <n v="2055.2800000000002"/>
    <n v="2449.64"/>
    <s v="New"/>
    <n v="0.19"/>
    <s v="Credit Card"/>
    <s v="Online"/>
    <s v="North-Eve"/>
  </r>
  <r>
    <n v="1078"/>
    <x v="200"/>
    <s v="David"/>
    <s v="East"/>
    <n v="8377.57"/>
    <n v="42"/>
    <s v="Food"/>
    <n v="63.41"/>
    <n v="314.93"/>
    <s v="Returning"/>
    <n v="0.03"/>
    <s v="Cash"/>
    <s v="Retail"/>
    <s v="East-David"/>
  </r>
  <r>
    <n v="1095"/>
    <x v="128"/>
    <s v="Charlie"/>
    <s v="West"/>
    <n v="8231.74"/>
    <n v="7"/>
    <s v="Food"/>
    <n v="4257.24"/>
    <n v="4355.87"/>
    <s v="Returning"/>
    <n v="0.03"/>
    <s v="Bank Transfer"/>
    <s v="Online"/>
    <s v="West-Charlie"/>
  </r>
  <r>
    <n v="1052"/>
    <x v="289"/>
    <s v="Alice"/>
    <s v="South"/>
    <n v="8448.93"/>
    <n v="2"/>
    <s v="Food"/>
    <n v="1935.41"/>
    <n v="2305.44"/>
    <s v="Returning"/>
    <n v="0.22"/>
    <s v="Credit Card"/>
    <s v="Online"/>
    <s v="South-Alice"/>
  </r>
  <r>
    <n v="1083"/>
    <x v="11"/>
    <s v="Eve"/>
    <s v="West"/>
    <n v="4902.4399999999996"/>
    <n v="42"/>
    <s v="Clothing"/>
    <n v="2505.41"/>
    <n v="2638.96"/>
    <s v="New"/>
    <n v="0.1"/>
    <s v="Bank Transfer"/>
    <s v="Online"/>
    <s v="West-Eve"/>
  </r>
  <r>
    <n v="1016"/>
    <x v="163"/>
    <s v="Charlie"/>
    <s v="South"/>
    <n v="3402.92"/>
    <n v="24"/>
    <s v="Furniture"/>
    <n v="88.44"/>
    <n v="338.94"/>
    <s v="New"/>
    <n v="0.28999999999999998"/>
    <s v="Cash"/>
    <s v="Online"/>
    <s v="South-Charlie"/>
  </r>
  <r>
    <n v="1069"/>
    <x v="148"/>
    <s v="Bob"/>
    <s v="North"/>
    <n v="7936.43"/>
    <n v="4"/>
    <s v="Electronics"/>
    <n v="2485.86"/>
    <n v="2532.87"/>
    <s v="New"/>
    <n v="0.01"/>
    <s v="Credit Card"/>
    <s v="Online"/>
    <s v="North-Bob"/>
  </r>
  <r>
    <n v="1099"/>
    <x v="290"/>
    <s v="Alice"/>
    <s v="West"/>
    <n v="4567.8100000000004"/>
    <n v="44"/>
    <s v="Clothing"/>
    <n v="4933.1099999999997"/>
    <n v="5245.86"/>
    <s v="Returning"/>
    <n v="0.13"/>
    <s v="Bank Transfer"/>
    <s v="Retail"/>
    <s v="West-Alice"/>
  </r>
  <r>
    <n v="1012"/>
    <x v="66"/>
    <s v="David"/>
    <s v="South"/>
    <n v="1916.08"/>
    <n v="19"/>
    <s v="Electronics"/>
    <n v="1427.42"/>
    <n v="1763.69"/>
    <s v="New"/>
    <n v="0.03"/>
    <s v="Cash"/>
    <s v="Retail"/>
    <s v="South-David"/>
  </r>
  <r>
    <n v="1025"/>
    <x v="291"/>
    <s v="Alice"/>
    <s v="East"/>
    <n v="8564.24"/>
    <n v="26"/>
    <s v="Electronics"/>
    <n v="2007.32"/>
    <n v="2202.87"/>
    <s v="Returning"/>
    <n v="0.11"/>
    <s v="Cash"/>
    <s v="Online"/>
    <s v="East-Alice"/>
  </r>
  <r>
    <n v="1052"/>
    <x v="99"/>
    <s v="Bob"/>
    <s v="North"/>
    <n v="8837.34"/>
    <n v="11"/>
    <s v="Clothing"/>
    <n v="3451.59"/>
    <n v="3929.26"/>
    <s v="New"/>
    <n v="0.3"/>
    <s v="Credit Card"/>
    <s v="Retail"/>
    <s v="North-Bob"/>
  </r>
  <r>
    <n v="1085"/>
    <x v="70"/>
    <s v="Eve"/>
    <s v="East"/>
    <n v="4716.47"/>
    <n v="40"/>
    <s v="Clothing"/>
    <n v="4083.23"/>
    <n v="4521.57"/>
    <s v="New"/>
    <n v="0.27"/>
    <s v="Bank Transfer"/>
    <s v="Retail"/>
    <s v="East-Eve"/>
  </r>
  <r>
    <n v="1100"/>
    <x v="206"/>
    <s v="Eve"/>
    <s v="North"/>
    <n v="849.43"/>
    <n v="43"/>
    <s v="Furniture"/>
    <n v="2116.09"/>
    <n v="2472.98"/>
    <s v="New"/>
    <n v="0.01"/>
    <s v="Credit Card"/>
    <s v="Retail"/>
    <s v="North-Eve"/>
  </r>
  <r>
    <n v="1053"/>
    <x v="57"/>
    <s v="Eve"/>
    <s v="West"/>
    <n v="3939.48"/>
    <n v="11"/>
    <s v="Furniture"/>
    <n v="1582.86"/>
    <n v="1942.55"/>
    <s v="New"/>
    <n v="0.17"/>
    <s v="Credit Card"/>
    <s v="Retail"/>
    <s v="West-Eve"/>
  </r>
  <r>
    <n v="1023"/>
    <x v="186"/>
    <s v="David"/>
    <s v="West"/>
    <n v="8055.02"/>
    <n v="45"/>
    <s v="Food"/>
    <n v="4692.24"/>
    <n v="4825.92"/>
    <s v="Returning"/>
    <n v="0.19"/>
    <s v="Bank Transfer"/>
    <s v="Retail"/>
    <s v="West-David"/>
  </r>
  <r>
    <n v="1016"/>
    <x v="177"/>
    <s v="Charlie"/>
    <s v="North"/>
    <n v="9027.56"/>
    <n v="3"/>
    <s v="Electronics"/>
    <n v="3401.87"/>
    <n v="3733.71"/>
    <s v="Returning"/>
    <n v="0.06"/>
    <s v="Bank Transfer"/>
    <s v="Retail"/>
    <s v="North-Charlie"/>
  </r>
  <r>
    <n v="1057"/>
    <x v="231"/>
    <s v="Charlie"/>
    <s v="North"/>
    <n v="2114.38"/>
    <n v="12"/>
    <s v="Furniture"/>
    <n v="639.16"/>
    <n v="746.28"/>
    <s v="Returning"/>
    <n v="0.04"/>
    <s v="Bank Transfer"/>
    <s v="Retail"/>
    <s v="North-Charlie"/>
  </r>
  <r>
    <n v="1039"/>
    <x v="292"/>
    <s v="Alice"/>
    <s v="North"/>
    <n v="763.04"/>
    <n v="3"/>
    <s v="Food"/>
    <n v="391.19"/>
    <n v="471.75"/>
    <s v="Returning"/>
    <n v="0.27"/>
    <s v="Cash"/>
    <s v="Online"/>
    <s v="North-Alice"/>
  </r>
  <r>
    <n v="1053"/>
    <x v="54"/>
    <s v="David"/>
    <s v="West"/>
    <n v="8785.77"/>
    <n v="42"/>
    <s v="Furniture"/>
    <n v="2443.5700000000002"/>
    <n v="2943.31"/>
    <s v="New"/>
    <n v="0.28999999999999998"/>
    <s v="Cash"/>
    <s v="Online"/>
    <s v="West-David"/>
  </r>
  <r>
    <n v="1042"/>
    <x v="290"/>
    <s v="Eve"/>
    <s v="South"/>
    <n v="3955.11"/>
    <n v="27"/>
    <s v="Clothing"/>
    <n v="1139.45"/>
    <n v="1454.41"/>
    <s v="Returning"/>
    <n v="0.3"/>
    <s v="Bank Transfer"/>
    <s v="Online"/>
    <s v="South-Eve"/>
  </r>
  <r>
    <n v="1058"/>
    <x v="263"/>
    <s v="Eve"/>
    <s v="East"/>
    <n v="5463.43"/>
    <n v="49"/>
    <s v="Furniture"/>
    <n v="1307.22"/>
    <n v="1528.4"/>
    <s v="Returning"/>
    <n v="0.24"/>
    <s v="Cash"/>
    <s v="Retail"/>
    <s v="East-Eve"/>
  </r>
  <r>
    <n v="1039"/>
    <x v="68"/>
    <s v="Bob"/>
    <s v="East"/>
    <n v="9683.85"/>
    <n v="2"/>
    <s v="Electronics"/>
    <n v="4394.58"/>
    <n v="4545.78"/>
    <s v="Returning"/>
    <n v="0.2"/>
    <s v="Credit Card"/>
    <s v="Retail"/>
    <s v="East-Bob"/>
  </r>
  <r>
    <n v="1014"/>
    <x v="293"/>
    <s v="Bob"/>
    <s v="West"/>
    <n v="758.99"/>
    <n v="49"/>
    <s v="Furniture"/>
    <n v="493.35"/>
    <n v="799.27"/>
    <s v="New"/>
    <n v="0.1"/>
    <s v="Bank Transfer"/>
    <s v="Online"/>
    <s v="West-Bob"/>
  </r>
  <r>
    <n v="1095"/>
    <x v="42"/>
    <s v="Eve"/>
    <s v="East"/>
    <n v="6518.35"/>
    <n v="16"/>
    <s v="Electronics"/>
    <n v="3591.05"/>
    <n v="3625.35"/>
    <s v="Returning"/>
    <n v="0.05"/>
    <s v="Credit Card"/>
    <s v="Retail"/>
    <s v="East-Eve"/>
  </r>
  <r>
    <n v="1005"/>
    <x v="116"/>
    <s v="Eve"/>
    <s v="North"/>
    <n v="833.64"/>
    <n v="2"/>
    <s v="Clothing"/>
    <n v="1392.15"/>
    <n v="1448.54"/>
    <s v="Returning"/>
    <n v="0.02"/>
    <s v="Bank Transfer"/>
    <s v="Retail"/>
    <s v="North-Eve"/>
  </r>
  <r>
    <n v="1035"/>
    <x v="133"/>
    <s v="David"/>
    <s v="South"/>
    <n v="3817.14"/>
    <n v="30"/>
    <s v="Electronics"/>
    <n v="3813.62"/>
    <n v="3839.72"/>
    <s v="New"/>
    <n v="0.21"/>
    <s v="Credit Card"/>
    <s v="Online"/>
    <s v="South-David"/>
  </r>
  <r>
    <n v="1087"/>
    <x v="285"/>
    <s v="Charlie"/>
    <s v="East"/>
    <n v="8057.76"/>
    <n v="20"/>
    <s v="Furniture"/>
    <n v="3625.94"/>
    <n v="3880.53"/>
    <s v="New"/>
    <n v="0.24"/>
    <s v="Bank Transfer"/>
    <s v="Online"/>
    <s v="East-Charlie"/>
  </r>
  <r>
    <n v="1093"/>
    <x v="294"/>
    <s v="Bob"/>
    <s v="South"/>
    <n v="4391.38"/>
    <n v="38"/>
    <s v="Food"/>
    <n v="86.59"/>
    <n v="390.89"/>
    <s v="Returning"/>
    <n v="0.25"/>
    <s v="Credit Card"/>
    <s v="Online"/>
    <s v="South-Bob"/>
  </r>
  <r>
    <n v="1075"/>
    <x v="257"/>
    <s v="Charlie"/>
    <s v="North"/>
    <n v="9972.11"/>
    <n v="28"/>
    <s v="Clothing"/>
    <n v="2570.2199999999998"/>
    <n v="2610.8399999999901"/>
    <s v="Returning"/>
    <n v="0.27"/>
    <s v="Bank Transfer"/>
    <s v="Retail"/>
    <s v="North-Charlie"/>
  </r>
  <r>
    <n v="1018"/>
    <x v="278"/>
    <s v="David"/>
    <s v="East"/>
    <n v="5634.69"/>
    <n v="25"/>
    <s v="Furniture"/>
    <n v="739.63"/>
    <n v="1103.03"/>
    <s v="New"/>
    <n v="0.26"/>
    <s v="Bank Transfer"/>
    <s v="Retail"/>
    <s v="East-David"/>
  </r>
  <r>
    <n v="1076"/>
    <x v="211"/>
    <s v="Eve"/>
    <s v="West"/>
    <n v="3279.51"/>
    <n v="32"/>
    <s v="Clothing"/>
    <n v="4337.82"/>
    <n v="4460.71"/>
    <s v="Returning"/>
    <n v="0.3"/>
    <s v="Cash"/>
    <s v="Retail"/>
    <s v="West-Eve"/>
  </r>
  <r>
    <n v="1009"/>
    <x v="103"/>
    <s v="Charlie"/>
    <s v="South"/>
    <n v="2279.1"/>
    <n v="10"/>
    <s v="Clothing"/>
    <n v="4364.3500000000004"/>
    <n v="4710.1000000000004"/>
    <s v="New"/>
    <n v="7.0000000000000007E-2"/>
    <s v="Credit Card"/>
    <s v="Online"/>
    <s v="South-Charlie"/>
  </r>
  <r>
    <n v="1074"/>
    <x v="79"/>
    <s v="Eve"/>
    <s v="North"/>
    <n v="3570.15"/>
    <n v="42"/>
    <s v="Furniture"/>
    <n v="2120.81"/>
    <n v="2611.94"/>
    <s v="Returning"/>
    <n v="0.23"/>
    <s v="Cash"/>
    <s v="Online"/>
    <s v="North-Eve"/>
  </r>
  <r>
    <n v="1058"/>
    <x v="295"/>
    <s v="Eve"/>
    <s v="South"/>
    <n v="3788.08"/>
    <n v="40"/>
    <s v="Furniture"/>
    <n v="2249.7600000000002"/>
    <n v="2598.4"/>
    <s v="Returning"/>
    <n v="0.18"/>
    <s v="Credit Card"/>
    <s v="Retail"/>
    <s v="South-Eve"/>
  </r>
  <r>
    <n v="1017"/>
    <x v="296"/>
    <s v="Alice"/>
    <s v="East"/>
    <n v="780.27"/>
    <n v="33"/>
    <s v="Food"/>
    <n v="1551.25"/>
    <n v="1994.01"/>
    <s v="Returning"/>
    <n v="0.08"/>
    <s v="Cash"/>
    <s v="Online"/>
    <s v="East-Alice"/>
  </r>
  <r>
    <n v="1007"/>
    <x v="238"/>
    <s v="Charlie"/>
    <s v="East"/>
    <n v="3758.78"/>
    <n v="13"/>
    <s v="Clothing"/>
    <n v="3597.2"/>
    <n v="4071.8199999999902"/>
    <s v="Returning"/>
    <n v="0.28999999999999998"/>
    <s v="Bank Transfer"/>
    <s v="Online"/>
    <s v="East-Charlie"/>
  </r>
  <r>
    <n v="1046"/>
    <x v="91"/>
    <s v="Charlie"/>
    <s v="West"/>
    <n v="4695.96"/>
    <n v="41"/>
    <s v="Clothing"/>
    <n v="1825.37"/>
    <n v="2073.88"/>
    <s v="Returning"/>
    <n v="0.27"/>
    <s v="Cash"/>
    <s v="Retail"/>
    <s v="West-Charlie"/>
  </r>
  <r>
    <n v="1013"/>
    <x v="297"/>
    <s v="Eve"/>
    <s v="North"/>
    <n v="7255.1"/>
    <n v="42"/>
    <s v="Furniture"/>
    <n v="1375.57"/>
    <n v="1729.71"/>
    <s v="New"/>
    <n v="0.04"/>
    <s v="Cash"/>
    <s v="Online"/>
    <s v="North-Eve"/>
  </r>
  <r>
    <n v="1040"/>
    <x v="204"/>
    <s v="David"/>
    <s v="North"/>
    <n v="6601.62"/>
    <n v="47"/>
    <s v="Electronics"/>
    <n v="2189.54"/>
    <n v="2617"/>
    <s v="New"/>
    <n v="0.01"/>
    <s v="Bank Transfer"/>
    <s v="Online"/>
    <s v="North-David"/>
  </r>
  <r>
    <n v="1042"/>
    <x v="127"/>
    <s v="Alice"/>
    <s v="West"/>
    <n v="7116.78"/>
    <n v="37"/>
    <s v="Furniture"/>
    <n v="502.86"/>
    <n v="687.6"/>
    <s v="Returning"/>
    <n v="0.21"/>
    <s v="Cash"/>
    <s v="Online"/>
    <s v="West-Alice"/>
  </r>
  <r>
    <n v="1009"/>
    <x v="157"/>
    <s v="Eve"/>
    <s v="West"/>
    <n v="182.8"/>
    <n v="16"/>
    <s v="Clothing"/>
    <n v="3745.69"/>
    <n v="3883.77"/>
    <s v="Returning"/>
    <n v="0.18"/>
    <s v="Bank Transfer"/>
    <s v="Retail"/>
    <s v="West-Eve"/>
  </r>
  <r>
    <n v="1050"/>
    <x v="28"/>
    <s v="Bob"/>
    <s v="North"/>
    <n v="2254.91"/>
    <n v="45"/>
    <s v="Furniture"/>
    <n v="112.35"/>
    <n v="586.17999999999995"/>
    <s v="Returning"/>
    <n v="0.28000000000000003"/>
    <s v="Credit Card"/>
    <s v="Retail"/>
    <s v="North-Bob"/>
  </r>
  <r>
    <n v="1027"/>
    <x v="222"/>
    <s v="Bob"/>
    <s v="South"/>
    <n v="6650.67"/>
    <n v="22"/>
    <s v="Food"/>
    <n v="3240.2"/>
    <n v="3606.0899999999901"/>
    <s v="New"/>
    <n v="7.0000000000000007E-2"/>
    <s v="Cash"/>
    <s v="Online"/>
    <s v="South-Bob"/>
  </r>
  <r>
    <n v="1066"/>
    <x v="11"/>
    <s v="Alice"/>
    <s v="South"/>
    <n v="4891.49"/>
    <n v="20"/>
    <s v="Electronics"/>
    <n v="955.18"/>
    <n v="1072.82"/>
    <s v="New"/>
    <n v="0.03"/>
    <s v="Bank Transfer"/>
    <s v="Retail"/>
    <s v="South-Alice"/>
  </r>
  <r>
    <n v="1005"/>
    <x v="136"/>
    <s v="David"/>
    <s v="West"/>
    <n v="152.6"/>
    <n v="43"/>
    <s v="Furniture"/>
    <n v="1200.4000000000001"/>
    <n v="1430.45"/>
    <s v="New"/>
    <n v="0.08"/>
    <s v="Bank Transfer"/>
    <s v="Retail"/>
    <s v="West-David"/>
  </r>
  <r>
    <n v="1029"/>
    <x v="277"/>
    <s v="Eve"/>
    <s v="South"/>
    <n v="8064.5"/>
    <n v="27"/>
    <s v="Food"/>
    <n v="3196.38"/>
    <n v="3596.64"/>
    <s v="New"/>
    <n v="0.01"/>
    <s v="Cash"/>
    <s v="Retail"/>
    <s v="South-Eve"/>
  </r>
  <r>
    <n v="1037"/>
    <x v="231"/>
    <s v="Charlie"/>
    <s v="North"/>
    <n v="7750.81"/>
    <n v="41"/>
    <s v="Clothing"/>
    <n v="4965.07"/>
    <n v="5243.13"/>
    <s v="New"/>
    <n v="0.01"/>
    <s v="Credit Card"/>
    <s v="Online"/>
    <s v="North-Charlie"/>
  </r>
  <r>
    <n v="1038"/>
    <x v="32"/>
    <s v="Alice"/>
    <s v="East"/>
    <n v="5529.35"/>
    <n v="16"/>
    <s v="Furniture"/>
    <n v="3899.7"/>
    <n v="4228.18"/>
    <s v="New"/>
    <n v="0.27"/>
    <s v="Cash"/>
    <s v="Retail"/>
    <s v="East-Alice"/>
  </r>
  <r>
    <n v="1083"/>
    <x v="170"/>
    <s v="David"/>
    <s v="East"/>
    <n v="757.99"/>
    <n v="34"/>
    <s v="Clothing"/>
    <n v="1167.9100000000001"/>
    <n v="1547.26"/>
    <s v="New"/>
    <n v="0.11"/>
    <s v="Bank Transfer"/>
    <s v="Online"/>
    <s v="East-David"/>
  </r>
  <r>
    <n v="1008"/>
    <x v="70"/>
    <s v="Charlie"/>
    <s v="South"/>
    <n v="7688.5"/>
    <n v="32"/>
    <s v="Food"/>
    <n v="921.32"/>
    <n v="1236.0999999999999"/>
    <s v="New"/>
    <n v="0.12"/>
    <s v="Credit Card"/>
    <s v="Online"/>
    <s v="South-Charlie"/>
  </r>
  <r>
    <n v="1065"/>
    <x v="11"/>
    <s v="Bob"/>
    <s v="West"/>
    <n v="5878.76"/>
    <n v="26"/>
    <s v="Clothing"/>
    <n v="4337.8500000000004"/>
    <n v="4612.49"/>
    <s v="Returning"/>
    <n v="0.01"/>
    <s v="Cash"/>
    <s v="Retail"/>
    <s v="West-Bob"/>
  </r>
  <r>
    <n v="1086"/>
    <x v="298"/>
    <s v="Bob"/>
    <s v="West"/>
    <n v="7841.4"/>
    <n v="25"/>
    <s v="Food"/>
    <n v="2248.71"/>
    <n v="2626.02"/>
    <s v="New"/>
    <n v="0.08"/>
    <s v="Bank Transfer"/>
    <s v="Online"/>
    <s v="West-Bob"/>
  </r>
  <r>
    <n v="1017"/>
    <x v="61"/>
    <s v="Charlie"/>
    <s v="West"/>
    <n v="7542.3"/>
    <n v="2"/>
    <s v="Food"/>
    <n v="728.41"/>
    <n v="1094.92"/>
    <s v="New"/>
    <n v="0.24"/>
    <s v="Cash"/>
    <s v="Retail"/>
    <s v="West-Charlie"/>
  </r>
  <r>
    <n v="1071"/>
    <x v="90"/>
    <s v="Alice"/>
    <s v="West"/>
    <n v="8049.72"/>
    <n v="12"/>
    <s v="Food"/>
    <n v="4317.95"/>
    <n v="4636.59"/>
    <s v="New"/>
    <n v="0.18"/>
    <s v="Credit Card"/>
    <s v="Retail"/>
    <s v="West-Alice"/>
  </r>
  <r>
    <n v="1089"/>
    <x v="175"/>
    <s v="Bob"/>
    <s v="West"/>
    <n v="5228.28"/>
    <n v="40"/>
    <s v="Furniture"/>
    <n v="4089.66"/>
    <n v="4275.96"/>
    <s v="New"/>
    <n v="0.23"/>
    <s v="Credit Card"/>
    <s v="Online"/>
    <s v="West-Bob"/>
  </r>
  <r>
    <n v="1045"/>
    <x v="273"/>
    <s v="Eve"/>
    <s v="South"/>
    <n v="1489.21"/>
    <n v="9"/>
    <s v="Clothing"/>
    <n v="4920.34"/>
    <n v="5129.1899999999996"/>
    <s v="Returning"/>
    <n v="0.13"/>
    <s v="Credit Card"/>
    <s v="Online"/>
    <s v="South-Eve"/>
  </r>
  <r>
    <n v="1004"/>
    <x v="59"/>
    <s v="Charlie"/>
    <s v="East"/>
    <n v="6744.46"/>
    <n v="12"/>
    <s v="Clothing"/>
    <n v="4553.2299999999996"/>
    <n v="5038.74"/>
    <s v="New"/>
    <n v="0.09"/>
    <s v="Credit Card"/>
    <s v="Retail"/>
    <s v="East-Charlie"/>
  </r>
  <r>
    <n v="1036"/>
    <x v="299"/>
    <s v="Charlie"/>
    <s v="East"/>
    <n v="6242.69"/>
    <n v="26"/>
    <s v="Electronics"/>
    <n v="4266.3599999999997"/>
    <n v="4331.4299999999903"/>
    <s v="Returning"/>
    <n v="0.14000000000000001"/>
    <s v="Credit Card"/>
    <s v="Retail"/>
    <s v="East-Charlie"/>
  </r>
  <r>
    <n v="1070"/>
    <x v="94"/>
    <s v="Bob"/>
    <s v="South"/>
    <n v="7448.31"/>
    <n v="9"/>
    <s v="Electronics"/>
    <n v="310.24"/>
    <n v="451.81"/>
    <s v="Returning"/>
    <n v="0.1"/>
    <s v="Cash"/>
    <s v="Retail"/>
    <s v="South-Bob"/>
  </r>
  <r>
    <n v="1031"/>
    <x v="273"/>
    <s v="Alice"/>
    <s v="West"/>
    <n v="1781.82"/>
    <n v="10"/>
    <s v="Electronics"/>
    <n v="566.86"/>
    <n v="818.14"/>
    <s v="Returning"/>
    <n v="0.25"/>
    <s v="Credit Card"/>
    <s v="Retail"/>
    <s v="West-Alice"/>
  </r>
  <r>
    <n v="1019"/>
    <x v="300"/>
    <s v="Eve"/>
    <s v="South"/>
    <n v="2030.25"/>
    <n v="32"/>
    <s v="Electronics"/>
    <n v="2866.47"/>
    <n v="3286.47"/>
    <s v="New"/>
    <n v="0.09"/>
    <s v="Credit Card"/>
    <s v="Online"/>
    <s v="South-Eve"/>
  </r>
  <r>
    <n v="1061"/>
    <x v="228"/>
    <s v="Alice"/>
    <s v="East"/>
    <n v="8915.0499999999993"/>
    <n v="34"/>
    <s v="Clothing"/>
    <n v="2680.82"/>
    <n v="2771.02"/>
    <s v="New"/>
    <n v="0.2"/>
    <s v="Bank Transfer"/>
    <s v="Online"/>
    <s v="East-Alice"/>
  </r>
  <r>
    <n v="1054"/>
    <x v="194"/>
    <s v="David"/>
    <s v="North"/>
    <n v="7524.78"/>
    <n v="48"/>
    <s v="Food"/>
    <n v="2316.92"/>
    <n v="2462.63"/>
    <s v="New"/>
    <n v="0.04"/>
    <s v="Credit Card"/>
    <s v="Online"/>
    <s v="North-David"/>
  </r>
  <r>
    <n v="1039"/>
    <x v="32"/>
    <s v="David"/>
    <s v="South"/>
    <n v="9091.4599999999991"/>
    <n v="20"/>
    <s v="Food"/>
    <n v="2014.11"/>
    <n v="2056.35"/>
    <s v="Returning"/>
    <n v="0.21"/>
    <s v="Bank Transfer"/>
    <s v="Retail"/>
    <s v="South-David"/>
  </r>
  <r>
    <n v="1091"/>
    <x v="275"/>
    <s v="Bob"/>
    <s v="West"/>
    <n v="7611.28"/>
    <n v="39"/>
    <s v="Furniture"/>
    <n v="2184.4899999999998"/>
    <n v="2540.4199999999901"/>
    <s v="Returning"/>
    <n v="0.27"/>
    <s v="Bank Transfer"/>
    <s v="Online"/>
    <s v="West-Bob"/>
  </r>
  <r>
    <n v="1074"/>
    <x v="185"/>
    <s v="Bob"/>
    <s v="East"/>
    <n v="6011.84"/>
    <n v="2"/>
    <s v="Food"/>
    <n v="2868.02"/>
    <n v="2994.74"/>
    <s v="Returning"/>
    <n v="0.18"/>
    <s v="Bank Transfer"/>
    <s v="Online"/>
    <s v="East-Bob"/>
  </r>
  <r>
    <n v="1090"/>
    <x v="24"/>
    <s v="Bob"/>
    <s v="East"/>
    <n v="6575.91"/>
    <n v="1"/>
    <s v="Clothing"/>
    <n v="60.28"/>
    <n v="260.73"/>
    <s v="Returning"/>
    <n v="0.17"/>
    <s v="Cash"/>
    <s v="Online"/>
    <s v="East-Bob"/>
  </r>
  <r>
    <n v="1019"/>
    <x v="89"/>
    <s v="David"/>
    <s v="East"/>
    <n v="8902.3700000000008"/>
    <n v="36"/>
    <s v="Clothing"/>
    <n v="1340.51"/>
    <n v="1567.92"/>
    <s v="New"/>
    <n v="0.28999999999999998"/>
    <s v="Cash"/>
    <s v="Online"/>
    <s v="East-David"/>
  </r>
  <r>
    <n v="1039"/>
    <x v="137"/>
    <s v="Alice"/>
    <s v="East"/>
    <n v="5830.19"/>
    <n v="24"/>
    <s v="Clothing"/>
    <n v="2615.48"/>
    <n v="3062.22"/>
    <s v="New"/>
    <n v="0.19"/>
    <s v="Bank Transfer"/>
    <s v="Retail"/>
    <s v="East-Alice"/>
  </r>
  <r>
    <n v="1067"/>
    <x v="301"/>
    <s v="Alice"/>
    <s v="West"/>
    <n v="6360.67"/>
    <n v="27"/>
    <s v="Furniture"/>
    <n v="3624.97"/>
    <n v="3836.52"/>
    <s v="New"/>
    <n v="0.08"/>
    <s v="Cash"/>
    <s v="Online"/>
    <s v="West-Alice"/>
  </r>
  <r>
    <n v="1045"/>
    <x v="204"/>
    <s v="Bob"/>
    <s v="North"/>
    <n v="1649.12"/>
    <n v="2"/>
    <s v="Electronics"/>
    <n v="912.08"/>
    <n v="993.24"/>
    <s v="Returning"/>
    <n v="0.09"/>
    <s v="Credit Card"/>
    <s v="Online"/>
    <s v="North-Bob"/>
  </r>
  <r>
    <n v="1013"/>
    <x v="302"/>
    <s v="Eve"/>
    <s v="East"/>
    <n v="4791.82"/>
    <n v="31"/>
    <s v="Food"/>
    <n v="2757.06"/>
    <n v="3023.97"/>
    <s v="Returning"/>
    <n v="0.21"/>
    <s v="Cash"/>
    <s v="Online"/>
    <s v="East-Eve"/>
  </r>
  <r>
    <n v="1092"/>
    <x v="32"/>
    <s v="Alice"/>
    <s v="South"/>
    <n v="7192.33"/>
    <n v="14"/>
    <s v="Clothing"/>
    <n v="3586.58"/>
    <n v="4068.43"/>
    <s v="New"/>
    <n v="0.22"/>
    <s v="Credit Card"/>
    <s v="Online"/>
    <s v="South-Alice"/>
  </r>
  <r>
    <n v="1058"/>
    <x v="266"/>
    <s v="David"/>
    <s v="North"/>
    <n v="2782.33"/>
    <n v="2"/>
    <s v="Clothing"/>
    <n v="2250.91"/>
    <n v="2558.6799999999998"/>
    <s v="New"/>
    <n v="0.09"/>
    <s v="Credit Card"/>
    <s v="Retail"/>
    <s v="North-David"/>
  </r>
  <r>
    <n v="1020"/>
    <x v="32"/>
    <s v="Charlie"/>
    <s v="East"/>
    <n v="2102.3200000000002"/>
    <n v="29"/>
    <s v="Electronics"/>
    <n v="184.05"/>
    <n v="675.91"/>
    <s v="Returning"/>
    <n v="0.1"/>
    <s v="Cash"/>
    <s v="Retail"/>
    <s v="East-Charlie"/>
  </r>
  <r>
    <n v="1092"/>
    <x v="171"/>
    <s v="Charlie"/>
    <s v="North"/>
    <n v="3206.89"/>
    <n v="15"/>
    <s v="Clothing"/>
    <n v="2273.88"/>
    <n v="2696.02"/>
    <s v="New"/>
    <n v="0.3"/>
    <s v="Cash"/>
    <s v="Online"/>
    <s v="North-Charlie"/>
  </r>
  <r>
    <n v="1072"/>
    <x v="104"/>
    <s v="Charlie"/>
    <s v="South"/>
    <n v="2490.86"/>
    <n v="12"/>
    <s v="Food"/>
    <n v="1517.4"/>
    <n v="1545.02"/>
    <s v="New"/>
    <n v="0.03"/>
    <s v="Bank Transfer"/>
    <s v="Retail"/>
    <s v="South-Charlie"/>
  </r>
  <r>
    <n v="1061"/>
    <x v="15"/>
    <s v="Eve"/>
    <s v="East"/>
    <n v="2227.64"/>
    <n v="37"/>
    <s v="Furniture"/>
    <n v="4651.7700000000004"/>
    <n v="4984.3900000000003"/>
    <s v="Returning"/>
    <n v="0.12"/>
    <s v="Cash"/>
    <s v="Retail"/>
    <s v="East-Eve"/>
  </r>
  <r>
    <n v="1039"/>
    <x v="291"/>
    <s v="Bob"/>
    <s v="South"/>
    <n v="4306.0200000000004"/>
    <n v="28"/>
    <s v="Clothing"/>
    <n v="666.84"/>
    <n v="817.36"/>
    <s v="Returning"/>
    <n v="0.02"/>
    <s v="Cash"/>
    <s v="Retail"/>
    <s v="South-Bob"/>
  </r>
  <r>
    <n v="1001"/>
    <x v="133"/>
    <s v="David"/>
    <s v="West"/>
    <n v="9087.6"/>
    <n v="20"/>
    <s v="Food"/>
    <n v="3279.76"/>
    <n v="3563.97"/>
    <s v="Returning"/>
    <n v="0.25"/>
    <s v="Cash"/>
    <s v="Retail"/>
    <s v="West-David"/>
  </r>
  <r>
    <n v="1003"/>
    <x v="216"/>
    <s v="Eve"/>
    <s v="East"/>
    <n v="5119.8900000000003"/>
    <n v="39"/>
    <s v="Clothing"/>
    <n v="310.95999999999998"/>
    <n v="457.84"/>
    <s v="New"/>
    <n v="0.03"/>
    <s v="Credit Card"/>
    <s v="Online"/>
    <s v="East-Eve"/>
  </r>
  <r>
    <n v="1077"/>
    <x v="303"/>
    <s v="David"/>
    <s v="East"/>
    <n v="1960.41"/>
    <n v="24"/>
    <s v="Electronics"/>
    <n v="2258.54"/>
    <n v="2439.4899999999998"/>
    <s v="Returning"/>
    <n v="0.2"/>
    <s v="Credit Card"/>
    <s v="Retail"/>
    <s v="East-David"/>
  </r>
  <r>
    <n v="1092"/>
    <x v="74"/>
    <s v="David"/>
    <s v="East"/>
    <n v="862.02"/>
    <n v="21"/>
    <s v="Clothing"/>
    <n v="2792.2"/>
    <n v="3254.5499999999902"/>
    <s v="New"/>
    <n v="0.02"/>
    <s v="Credit Card"/>
    <s v="Retail"/>
    <s v="East-David"/>
  </r>
  <r>
    <n v="1062"/>
    <x v="154"/>
    <s v="Bob"/>
    <s v="East"/>
    <n v="6991.95"/>
    <n v="10"/>
    <s v="Clothing"/>
    <n v="1524.88"/>
    <n v="1636.14"/>
    <s v="New"/>
    <n v="0.2"/>
    <s v="Bank Transfer"/>
    <s v="Online"/>
    <s v="East-Bob"/>
  </r>
  <r>
    <n v="1063"/>
    <x v="111"/>
    <s v="Charlie"/>
    <s v="West"/>
    <n v="3889.71"/>
    <n v="46"/>
    <s v="Furniture"/>
    <n v="2302.62"/>
    <n v="2740.93"/>
    <s v="Returning"/>
    <n v="0.25"/>
    <s v="Bank Transfer"/>
    <s v="Online"/>
    <s v="West-Charlie"/>
  </r>
  <r>
    <n v="1025"/>
    <x v="229"/>
    <s v="Bob"/>
    <s v="East"/>
    <n v="8236.1299999999992"/>
    <n v="14"/>
    <s v="Electronics"/>
    <n v="859.59"/>
    <n v="884.51"/>
    <s v="New"/>
    <n v="0.12"/>
    <s v="Bank Transfer"/>
    <s v="Online"/>
    <s v="East-Bob"/>
  </r>
  <r>
    <n v="1056"/>
    <x v="229"/>
    <s v="Eve"/>
    <s v="North"/>
    <n v="6629.16"/>
    <n v="37"/>
    <s v="Electronics"/>
    <n v="1555.41"/>
    <n v="1609.94"/>
    <s v="Returning"/>
    <n v="0.16"/>
    <s v="Credit Card"/>
    <s v="Online"/>
    <s v="North-Eve"/>
  </r>
  <r>
    <n v="1033"/>
    <x v="304"/>
    <s v="Eve"/>
    <s v="East"/>
    <n v="7982.79"/>
    <n v="18"/>
    <s v="Furniture"/>
    <n v="3124.48"/>
    <n v="3553.27"/>
    <s v="Returning"/>
    <n v="0.12"/>
    <s v="Cash"/>
    <s v="Retail"/>
    <s v="East-Eve"/>
  </r>
  <r>
    <n v="1038"/>
    <x v="305"/>
    <s v="Eve"/>
    <s v="West"/>
    <n v="2792.27"/>
    <n v="24"/>
    <s v="Clothing"/>
    <n v="1543.91"/>
    <n v="1862.88"/>
    <s v="New"/>
    <n v="0.09"/>
    <s v="Bank Transfer"/>
    <s v="Online"/>
    <s v="West-Eve"/>
  </r>
  <r>
    <n v="1006"/>
    <x v="278"/>
    <s v="Bob"/>
    <s v="East"/>
    <n v="6954.35"/>
    <n v="14"/>
    <s v="Food"/>
    <n v="4503.7299999999996"/>
    <n v="4879.8799999999901"/>
    <s v="New"/>
    <n v="0.24"/>
    <s v="Bank Transfer"/>
    <s v="Retail"/>
    <s v="East-Bob"/>
  </r>
  <r>
    <n v="1058"/>
    <x v="147"/>
    <s v="David"/>
    <s v="North"/>
    <n v="2714.21"/>
    <n v="34"/>
    <s v="Electronics"/>
    <n v="3160.61"/>
    <n v="3273.22"/>
    <s v="Returning"/>
    <n v="0.08"/>
    <s v="Credit Card"/>
    <s v="Retail"/>
    <s v="North-David"/>
  </r>
  <r>
    <n v="1044"/>
    <x v="306"/>
    <s v="David"/>
    <s v="West"/>
    <n v="9396.7800000000007"/>
    <n v="12"/>
    <s v="Electronics"/>
    <n v="2221.31"/>
    <n v="2494.48"/>
    <s v="Returning"/>
    <n v="0.22"/>
    <s v="Bank Transfer"/>
    <s v="Online"/>
    <s v="West-David"/>
  </r>
  <r>
    <n v="1045"/>
    <x v="307"/>
    <s v="Alice"/>
    <s v="West"/>
    <n v="6400.11"/>
    <n v="22"/>
    <s v="Clothing"/>
    <n v="241.85"/>
    <n v="613.09"/>
    <s v="Returning"/>
    <n v="0.06"/>
    <s v="Cash"/>
    <s v="Online"/>
    <s v="West-Alice"/>
  </r>
  <r>
    <n v="1032"/>
    <x v="253"/>
    <s v="Eve"/>
    <s v="North"/>
    <n v="3312.67"/>
    <n v="6"/>
    <s v="Clothing"/>
    <n v="2522.7600000000002"/>
    <n v="2840.14"/>
    <s v="Returning"/>
    <n v="7.0000000000000007E-2"/>
    <s v="Credit Card"/>
    <s v="Retail"/>
    <s v="North-Eve"/>
  </r>
  <r>
    <n v="1045"/>
    <x v="277"/>
    <s v="David"/>
    <s v="North"/>
    <n v="2768.17"/>
    <n v="36"/>
    <s v="Electronics"/>
    <n v="3835.64"/>
    <n v="4076.77"/>
    <s v="Returning"/>
    <n v="0.1"/>
    <s v="Credit Card"/>
    <s v="Retail"/>
    <s v="North-David"/>
  </r>
  <r>
    <n v="1061"/>
    <x v="64"/>
    <s v="Alice"/>
    <s v="North"/>
    <n v="1990.17"/>
    <n v="45"/>
    <s v="Clothing"/>
    <n v="1364.51"/>
    <n v="1844.8"/>
    <s v="Returning"/>
    <n v="0.18"/>
    <s v="Cash"/>
    <s v="Online"/>
    <s v="North-Alice"/>
  </r>
  <r>
    <n v="1047"/>
    <x v="308"/>
    <s v="David"/>
    <s v="North"/>
    <n v="6976.95"/>
    <n v="36"/>
    <s v="Food"/>
    <n v="4043.53"/>
    <n v="4384.8500000000004"/>
    <s v="New"/>
    <n v="0.14000000000000001"/>
    <s v="Cash"/>
    <s v="Online"/>
    <s v="North-David"/>
  </r>
  <r>
    <n v="1021"/>
    <x v="309"/>
    <s v="Eve"/>
    <s v="North"/>
    <n v="2265.2800000000002"/>
    <n v="22"/>
    <s v="Electronics"/>
    <n v="1296.44"/>
    <n v="1751.24"/>
    <s v="New"/>
    <n v="0.22"/>
    <s v="Cash"/>
    <s v="Online"/>
    <s v="North-Eve"/>
  </r>
  <r>
    <n v="1080"/>
    <x v="217"/>
    <s v="Charlie"/>
    <s v="West"/>
    <n v="5993.5"/>
    <n v="14"/>
    <s v="Food"/>
    <n v="4127.54"/>
    <n v="4495.13"/>
    <s v="New"/>
    <n v="0.06"/>
    <s v="Bank Transfer"/>
    <s v="Retail"/>
    <s v="West-Charlie"/>
  </r>
  <r>
    <n v="1085"/>
    <x v="212"/>
    <s v="Eve"/>
    <s v="West"/>
    <n v="2719.89"/>
    <n v="16"/>
    <s v="Food"/>
    <n v="472.08"/>
    <n v="842.46"/>
    <s v="New"/>
    <n v="0"/>
    <s v="Cash"/>
    <s v="Retail"/>
    <s v="West-Eve"/>
  </r>
  <r>
    <n v="1075"/>
    <x v="48"/>
    <s v="Bob"/>
    <s v="East"/>
    <n v="6653.49"/>
    <n v="36"/>
    <s v="Clothing"/>
    <n v="4337.6099999999997"/>
    <n v="4386.82"/>
    <s v="Returning"/>
    <n v="0.23"/>
    <s v="Credit Card"/>
    <s v="Online"/>
    <s v="East-Bob"/>
  </r>
  <r>
    <n v="1036"/>
    <x v="236"/>
    <s v="David"/>
    <s v="East"/>
    <n v="8167.9"/>
    <n v="25"/>
    <s v="Food"/>
    <n v="2520.9699999999998"/>
    <n v="2707.1099999999901"/>
    <s v="New"/>
    <n v="0.25"/>
    <s v="Cash"/>
    <s v="Retail"/>
    <s v="East-David"/>
  </r>
  <r>
    <n v="1099"/>
    <x v="306"/>
    <s v="David"/>
    <s v="South"/>
    <n v="7802.45"/>
    <n v="32"/>
    <s v="Clothing"/>
    <n v="1517.86"/>
    <n v="1948.46"/>
    <s v="New"/>
    <n v="0.02"/>
    <s v="Credit Card"/>
    <s v="Online"/>
    <s v="South-David"/>
  </r>
  <r>
    <n v="1019"/>
    <x v="310"/>
    <s v="Bob"/>
    <s v="East"/>
    <n v="7632.43"/>
    <n v="33"/>
    <s v="Furniture"/>
    <n v="1362.31"/>
    <n v="1486.29"/>
    <s v="Returning"/>
    <n v="0.18"/>
    <s v="Credit Card"/>
    <s v="Retail"/>
    <s v="East-Bob"/>
  </r>
  <r>
    <n v="1020"/>
    <x v="207"/>
    <s v="Bob"/>
    <s v="East"/>
    <n v="1958.45"/>
    <n v="45"/>
    <s v="Clothing"/>
    <n v="2188.4499999999998"/>
    <n v="2255.0499999999902"/>
    <s v="New"/>
    <n v="0.11"/>
    <s v="Bank Transfer"/>
    <s v="Retail"/>
    <s v="East-Bob"/>
  </r>
  <r>
    <n v="1057"/>
    <x v="31"/>
    <s v="Charlie"/>
    <s v="North"/>
    <n v="975.01"/>
    <n v="36"/>
    <s v="Food"/>
    <n v="4995.3"/>
    <n v="5165.09"/>
    <s v="Returning"/>
    <n v="0.24"/>
    <s v="Cash"/>
    <s v="Online"/>
    <s v="North-Charlie"/>
  </r>
  <r>
    <n v="1018"/>
    <x v="112"/>
    <s v="David"/>
    <s v="North"/>
    <n v="7019.59"/>
    <n v="20"/>
    <s v="Furniture"/>
    <n v="1140.6199999999999"/>
    <n v="1258.6299999999901"/>
    <s v="Returning"/>
    <n v="0.26"/>
    <s v="Bank Transfer"/>
    <s v="Online"/>
    <s v="North-David"/>
  </r>
  <r>
    <n v="1047"/>
    <x v="294"/>
    <s v="David"/>
    <s v="East"/>
    <n v="3746.64"/>
    <n v="18"/>
    <s v="Clothing"/>
    <n v="560.91999999999996"/>
    <n v="1024.31"/>
    <s v="Returning"/>
    <n v="0.26"/>
    <s v="Cash"/>
    <s v="Online"/>
    <s v="East-David"/>
  </r>
  <r>
    <n v="1049"/>
    <x v="147"/>
    <s v="Charlie"/>
    <s v="South"/>
    <n v="4380.2299999999996"/>
    <n v="38"/>
    <s v="Food"/>
    <n v="2945.92"/>
    <n v="3381.22"/>
    <s v="Returning"/>
    <n v="0.23"/>
    <s v="Cash"/>
    <s v="Retail"/>
    <s v="South-Charlie"/>
  </r>
  <r>
    <n v="1014"/>
    <x v="189"/>
    <s v="Alice"/>
    <s v="North"/>
    <n v="408.38"/>
    <n v="3"/>
    <s v="Electronics"/>
    <n v="2468.29"/>
    <n v="2723.13"/>
    <s v="Returning"/>
    <n v="0.08"/>
    <s v="Cash"/>
    <s v="Retail"/>
    <s v="North-Alice"/>
  </r>
  <r>
    <n v="1015"/>
    <x v="118"/>
    <s v="Charlie"/>
    <s v="East"/>
    <n v="2669.81"/>
    <n v="23"/>
    <s v="Electronics"/>
    <n v="2644.77"/>
    <n v="2684.83"/>
    <s v="New"/>
    <n v="0.24"/>
    <s v="Cash"/>
    <s v="Online"/>
    <s v="East-Charlie"/>
  </r>
  <r>
    <n v="1031"/>
    <x v="218"/>
    <s v="Eve"/>
    <s v="East"/>
    <n v="433.4"/>
    <n v="32"/>
    <s v="Clothing"/>
    <n v="3351.33"/>
    <n v="3711.47"/>
    <s v="New"/>
    <n v="0.16"/>
    <s v="Cash"/>
    <s v="Retail"/>
    <s v="East-Eve"/>
  </r>
  <r>
    <n v="1001"/>
    <x v="64"/>
    <s v="David"/>
    <s v="West"/>
    <n v="8803.94"/>
    <n v="45"/>
    <s v="Clothing"/>
    <n v="1372.36"/>
    <n v="1687.83"/>
    <s v="New"/>
    <n v="0.02"/>
    <s v="Credit Card"/>
    <s v="Online"/>
    <s v="West-David"/>
  </r>
  <r>
    <n v="1054"/>
    <x v="311"/>
    <s v="Bob"/>
    <s v="South"/>
    <n v="2509.63"/>
    <n v="16"/>
    <s v="Electronics"/>
    <n v="4557.79"/>
    <n v="5043.3599999999997"/>
    <s v="Returning"/>
    <n v="0.14000000000000001"/>
    <s v="Credit Card"/>
    <s v="Retail"/>
    <s v="South-Bob"/>
  </r>
  <r>
    <n v="1003"/>
    <x v="312"/>
    <s v="Eve"/>
    <s v="West"/>
    <n v="5617.64"/>
    <n v="5"/>
    <s v="Food"/>
    <n v="2206.58"/>
    <n v="2490.4699999999998"/>
    <s v="New"/>
    <n v="0.28000000000000003"/>
    <s v="Cash"/>
    <s v="Online"/>
    <s v="West-Eve"/>
  </r>
  <r>
    <n v="1016"/>
    <x v="313"/>
    <s v="David"/>
    <s v="South"/>
    <n v="485.9"/>
    <n v="4"/>
    <s v="Food"/>
    <n v="688.98"/>
    <n v="863.81"/>
    <s v="New"/>
    <n v="0.27"/>
    <s v="Credit Card"/>
    <s v="Retail"/>
    <s v="South-David"/>
  </r>
  <r>
    <n v="1087"/>
    <x v="267"/>
    <s v="Charlie"/>
    <s v="North"/>
    <n v="6701.79"/>
    <n v="21"/>
    <s v="Food"/>
    <n v="3724.38"/>
    <n v="3988.7"/>
    <s v="New"/>
    <n v="0.03"/>
    <s v="Bank Transfer"/>
    <s v="Retail"/>
    <s v="North-Charlie"/>
  </r>
  <r>
    <n v="1057"/>
    <x v="105"/>
    <s v="Eve"/>
    <s v="South"/>
    <n v="3297.97"/>
    <n v="40"/>
    <s v="Clothing"/>
    <n v="3233.37"/>
    <n v="3723.21"/>
    <s v="New"/>
    <n v="0.22"/>
    <s v="Bank Transfer"/>
    <s v="Retail"/>
    <s v="South-Eve"/>
  </r>
  <r>
    <n v="1075"/>
    <x v="185"/>
    <s v="David"/>
    <s v="East"/>
    <n v="8989.4"/>
    <n v="14"/>
    <s v="Furniture"/>
    <n v="1612.93"/>
    <n v="1964.15"/>
    <s v="Returning"/>
    <n v="0.24"/>
    <s v="Bank Transfer"/>
    <s v="Retail"/>
    <s v="East-David"/>
  </r>
  <r>
    <n v="1012"/>
    <x v="73"/>
    <s v="Alice"/>
    <s v="East"/>
    <n v="8892.3700000000008"/>
    <n v="39"/>
    <s v="Furniture"/>
    <n v="3126.52"/>
    <n v="3465.79"/>
    <s v="New"/>
    <n v="0.08"/>
    <s v="Cash"/>
    <s v="Online"/>
    <s v="East-Alice"/>
  </r>
  <r>
    <n v="1074"/>
    <x v="248"/>
    <s v="Alice"/>
    <s v="South"/>
    <n v="3320.38"/>
    <n v="31"/>
    <s v="Furniture"/>
    <n v="1138.32"/>
    <n v="1266.25"/>
    <s v="Returning"/>
    <n v="0.14000000000000001"/>
    <s v="Cash"/>
    <s v="Retail"/>
    <s v="South-Alice"/>
  </r>
  <r>
    <n v="1096"/>
    <x v="309"/>
    <s v="Bob"/>
    <s v="South"/>
    <n v="9019.51"/>
    <n v="14"/>
    <s v="Furniture"/>
    <n v="2251.9499999999998"/>
    <n v="2626.3199999999902"/>
    <s v="Returning"/>
    <n v="0.21"/>
    <s v="Credit Card"/>
    <s v="Online"/>
    <s v="South-Bob"/>
  </r>
  <r>
    <n v="1016"/>
    <x v="55"/>
    <s v="David"/>
    <s v="South"/>
    <n v="9961.9599999999991"/>
    <n v="6"/>
    <s v="Furniture"/>
    <n v="4502.09"/>
    <n v="4879.72"/>
    <s v="New"/>
    <n v="0.13"/>
    <s v="Credit Card"/>
    <s v="Online"/>
    <s v="South-David"/>
  </r>
  <r>
    <n v="1072"/>
    <x v="314"/>
    <s v="Alice"/>
    <s v="West"/>
    <n v="8271.6200000000008"/>
    <n v="12"/>
    <s v="Clothing"/>
    <n v="710.99"/>
    <n v="876.46"/>
    <s v="Returning"/>
    <n v="0.03"/>
    <s v="Credit Card"/>
    <s v="Online"/>
    <s v="West-Alice"/>
  </r>
  <r>
    <n v="1076"/>
    <x v="172"/>
    <s v="Charlie"/>
    <s v="South"/>
    <n v="8464.23"/>
    <n v="16"/>
    <s v="Clothing"/>
    <n v="1964.15"/>
    <n v="2211.17"/>
    <s v="Returning"/>
    <n v="0.21"/>
    <s v="Bank Transfer"/>
    <s v="Online"/>
    <s v="South-Charlie"/>
  </r>
  <r>
    <n v="1024"/>
    <x v="143"/>
    <s v="David"/>
    <s v="North"/>
    <n v="2565.19"/>
    <n v="17"/>
    <s v="Furniture"/>
    <n v="4114.66"/>
    <n v="4269.0199999999904"/>
    <s v="Returning"/>
    <n v="0.27"/>
    <s v="Bank Transfer"/>
    <s v="Retail"/>
    <s v="North-David"/>
  </r>
  <r>
    <n v="1028"/>
    <x v="34"/>
    <s v="Charlie"/>
    <s v="West"/>
    <n v="5809.35"/>
    <n v="45"/>
    <s v="Clothing"/>
    <n v="4848.9799999999996"/>
    <n v="4985.75"/>
    <s v="Returning"/>
    <n v="0.2"/>
    <s v="Bank Transfer"/>
    <s v="Online"/>
    <s v="West-Charlie"/>
  </r>
  <r>
    <n v="1008"/>
    <x v="266"/>
    <s v="Charlie"/>
    <s v="West"/>
    <n v="765.83"/>
    <n v="23"/>
    <s v="Clothing"/>
    <n v="2296.9299999999998"/>
    <n v="2319.62"/>
    <s v="Returning"/>
    <n v="0.23"/>
    <s v="Bank Transfer"/>
    <s v="Retail"/>
    <s v="West-Charlie"/>
  </r>
  <r>
    <n v="1092"/>
    <x v="217"/>
    <s v="Alice"/>
    <s v="South"/>
    <n v="1039.69"/>
    <n v="14"/>
    <s v="Furniture"/>
    <n v="2559.65"/>
    <n v="2709.4"/>
    <s v="Returning"/>
    <n v="0.11"/>
    <s v="Credit Card"/>
    <s v="Retail"/>
    <s v="South-Alice"/>
  </r>
  <r>
    <n v="1036"/>
    <x v="176"/>
    <s v="David"/>
    <s v="North"/>
    <n v="9989.0400000000009"/>
    <n v="7"/>
    <s v="Food"/>
    <n v="2882.25"/>
    <n v="3163.7"/>
    <s v="Returning"/>
    <n v="0.05"/>
    <s v="Cash"/>
    <s v="Retail"/>
    <s v="North-David"/>
  </r>
  <r>
    <n v="1090"/>
    <x v="13"/>
    <s v="Eve"/>
    <s v="West"/>
    <n v="3333.73"/>
    <n v="46"/>
    <s v="Clothing"/>
    <n v="4665.12"/>
    <n v="4675.8999999999996"/>
    <s v="New"/>
    <n v="0.19"/>
    <s v="Cash"/>
    <s v="Retail"/>
    <s v="West-Eve"/>
  </r>
  <r>
    <n v="1008"/>
    <x v="315"/>
    <s v="Alice"/>
    <s v="East"/>
    <n v="7507.02"/>
    <n v="32"/>
    <s v="Food"/>
    <n v="4298.12"/>
    <n v="4446.8999999999996"/>
    <s v="New"/>
    <n v="0.1"/>
    <s v="Bank Transfer"/>
    <s v="Online"/>
    <s v="East-Alice"/>
  </r>
  <r>
    <n v="1058"/>
    <x v="49"/>
    <s v="Alice"/>
    <s v="West"/>
    <n v="8085.98"/>
    <n v="15"/>
    <s v="Clothing"/>
    <n v="894.48"/>
    <n v="1336.37"/>
    <s v="Returning"/>
    <n v="0.26"/>
    <s v="Cash"/>
    <s v="Retail"/>
    <s v="West-Alice"/>
  </r>
  <r>
    <n v="1060"/>
    <x v="316"/>
    <s v="David"/>
    <s v="South"/>
    <n v="8594.43"/>
    <n v="44"/>
    <s v="Clothing"/>
    <n v="2211.9499999999998"/>
    <n v="2512.8399999999901"/>
    <s v="Returning"/>
    <n v="0.04"/>
    <s v="Cash"/>
    <s v="Online"/>
    <s v="South-David"/>
  </r>
  <r>
    <n v="1050"/>
    <x v="314"/>
    <s v="David"/>
    <s v="North"/>
    <n v="9976.52"/>
    <n v="17"/>
    <s v="Furniture"/>
    <n v="2346.8000000000002"/>
    <n v="2654.65"/>
    <s v="New"/>
    <n v="0.13"/>
    <s v="Cash"/>
    <s v="Retail"/>
    <s v="North-David"/>
  </r>
  <r>
    <n v="1028"/>
    <x v="185"/>
    <s v="Charlie"/>
    <s v="South"/>
    <n v="2490.8200000000002"/>
    <n v="41"/>
    <s v="Clothing"/>
    <n v="3956.03"/>
    <n v="4163.68"/>
    <s v="New"/>
    <n v="0.12"/>
    <s v="Bank Transfer"/>
    <s v="Retail"/>
    <s v="South-Charlie"/>
  </r>
  <r>
    <n v="1092"/>
    <x v="78"/>
    <s v="David"/>
    <s v="East"/>
    <n v="499.47"/>
    <n v="47"/>
    <s v="Electronics"/>
    <n v="3034.32"/>
    <n v="3375.79"/>
    <s v="New"/>
    <n v="0.28000000000000003"/>
    <s v="Credit Card"/>
    <s v="Online"/>
    <s v="East-David"/>
  </r>
  <r>
    <n v="1041"/>
    <x v="88"/>
    <s v="Charlie"/>
    <s v="East"/>
    <n v="4170.8"/>
    <n v="44"/>
    <s v="Electronics"/>
    <n v="3288.39"/>
    <n v="3391.46"/>
    <s v="New"/>
    <n v="0.05"/>
    <s v="Credit Card"/>
    <s v="Retail"/>
    <s v="East-Charlie"/>
  </r>
  <r>
    <n v="1100"/>
    <x v="38"/>
    <s v="Alice"/>
    <s v="East"/>
    <n v="1387.8"/>
    <n v="34"/>
    <s v="Furniture"/>
    <n v="4991.09"/>
    <n v="5402.28"/>
    <s v="Returning"/>
    <n v="0"/>
    <s v="Cash"/>
    <s v="Retail"/>
    <s v="East-Alice"/>
  </r>
  <r>
    <n v="1064"/>
    <x v="195"/>
    <s v="Bob"/>
    <s v="South"/>
    <n v="322.02"/>
    <n v="5"/>
    <s v="Food"/>
    <n v="421.05"/>
    <n v="488.23"/>
    <s v="Returning"/>
    <n v="7.0000000000000007E-2"/>
    <s v="Credit Card"/>
    <s v="Retail"/>
    <s v="South-Bob"/>
  </r>
  <r>
    <n v="1027"/>
    <x v="299"/>
    <s v="Eve"/>
    <s v="West"/>
    <n v="3668.23"/>
    <n v="45"/>
    <s v="Food"/>
    <n v="1153.9000000000001"/>
    <n v="1485.34"/>
    <s v="New"/>
    <n v="0.25"/>
    <s v="Credit Card"/>
    <s v="Retail"/>
    <s v="West-Eve"/>
  </r>
  <r>
    <n v="1063"/>
    <x v="235"/>
    <s v="Alice"/>
    <s v="South"/>
    <n v="7859.01"/>
    <n v="27"/>
    <s v="Food"/>
    <n v="2069.08"/>
    <n v="2246.2399999999998"/>
    <s v="New"/>
    <n v="0.06"/>
    <s v="Bank Transfer"/>
    <s v="Retail"/>
    <s v="South-Alice"/>
  </r>
  <r>
    <n v="1017"/>
    <x v="125"/>
    <s v="David"/>
    <s v="North"/>
    <n v="5705.19"/>
    <n v="23"/>
    <s v="Electronics"/>
    <n v="1771.52"/>
    <n v="2147.8000000000002"/>
    <s v="New"/>
    <n v="7.0000000000000007E-2"/>
    <s v="Bank Transfer"/>
    <s v="Online"/>
    <s v="North-David"/>
  </r>
  <r>
    <n v="1073"/>
    <x v="317"/>
    <s v="Eve"/>
    <s v="West"/>
    <n v="3196.5"/>
    <n v="40"/>
    <s v="Food"/>
    <n v="157.15"/>
    <n v="436.53"/>
    <s v="New"/>
    <n v="0.04"/>
    <s v="Cash"/>
    <s v="Retail"/>
    <s v="West-Eve"/>
  </r>
  <r>
    <n v="1033"/>
    <x v="318"/>
    <s v="Bob"/>
    <s v="East"/>
    <n v="6577.99"/>
    <n v="14"/>
    <s v="Food"/>
    <n v="504.3"/>
    <n v="735.95"/>
    <s v="Returning"/>
    <n v="0.21"/>
    <s v="Cash"/>
    <s v="Retail"/>
    <s v="East-Bob"/>
  </r>
  <r>
    <n v="1084"/>
    <x v="50"/>
    <s v="Bob"/>
    <s v="South"/>
    <n v="2396.98"/>
    <n v="15"/>
    <s v="Furniture"/>
    <n v="3420.72"/>
    <n v="3513.74"/>
    <s v="New"/>
    <n v="0.02"/>
    <s v="Cash"/>
    <s v="Online"/>
    <s v="South-Bob"/>
  </r>
  <r>
    <n v="1077"/>
    <x v="244"/>
    <s v="Charlie"/>
    <s v="East"/>
    <n v="242.38"/>
    <n v="43"/>
    <s v="Food"/>
    <n v="4402.66"/>
    <n v="4724.7"/>
    <s v="New"/>
    <n v="0.1"/>
    <s v="Bank Transfer"/>
    <s v="Retail"/>
    <s v="East-Charlie"/>
  </r>
  <r>
    <n v="1092"/>
    <x v="319"/>
    <s v="Eve"/>
    <s v="East"/>
    <n v="7667.1"/>
    <n v="33"/>
    <s v="Electronics"/>
    <n v="2595.42"/>
    <n v="3083.06"/>
    <s v="New"/>
    <n v="0.08"/>
    <s v="Credit Card"/>
    <s v="Online"/>
    <s v="East-Eve"/>
  </r>
  <r>
    <n v="1029"/>
    <x v="172"/>
    <s v="Charlie"/>
    <s v="North"/>
    <n v="6275.06"/>
    <n v="31"/>
    <s v="Electronics"/>
    <n v="2719"/>
    <n v="3133.55"/>
    <s v="Returning"/>
    <n v="0.17"/>
    <s v="Bank Transfer"/>
    <s v="Retail"/>
    <s v="North-Charlie"/>
  </r>
  <r>
    <n v="1013"/>
    <x v="267"/>
    <s v="Alice"/>
    <s v="West"/>
    <n v="7646.8"/>
    <n v="35"/>
    <s v="Electronics"/>
    <n v="1312.71"/>
    <n v="1352.11"/>
    <s v="Returning"/>
    <n v="0.22"/>
    <s v="Bank Transfer"/>
    <s v="Retail"/>
    <s v="West-Alice"/>
  </r>
  <r>
    <n v="1046"/>
    <x v="251"/>
    <s v="Eve"/>
    <s v="North"/>
    <n v="485.49"/>
    <n v="17"/>
    <s v="Furniture"/>
    <n v="3850.99"/>
    <n v="4045.3399999999901"/>
    <s v="Returning"/>
    <n v="0.16"/>
    <s v="Credit Card"/>
    <s v="Online"/>
    <s v="North-Eve"/>
  </r>
  <r>
    <n v="1035"/>
    <x v="320"/>
    <s v="Alice"/>
    <s v="North"/>
    <n v="8387.48"/>
    <n v="28"/>
    <s v="Furniture"/>
    <n v="3771.38"/>
    <n v="4234.92"/>
    <s v="New"/>
    <n v="0.28000000000000003"/>
    <s v="Credit Card"/>
    <s v="Retail"/>
    <s v="North-Alice"/>
  </r>
  <r>
    <n v="1006"/>
    <x v="211"/>
    <s v="Charlie"/>
    <s v="North"/>
    <n v="6233.31"/>
    <n v="19"/>
    <s v="Clothing"/>
    <n v="2962.41"/>
    <n v="3218.8999999999901"/>
    <s v="New"/>
    <n v="0.28999999999999998"/>
    <s v="Cash"/>
    <s v="Retail"/>
    <s v="North-Charlie"/>
  </r>
  <r>
    <n v="1082"/>
    <x v="150"/>
    <s v="Eve"/>
    <s v="East"/>
    <n v="5677.61"/>
    <n v="46"/>
    <s v="Food"/>
    <n v="1102.69"/>
    <n v="1437.12"/>
    <s v="New"/>
    <n v="0.11"/>
    <s v="Credit Card"/>
    <s v="Online"/>
    <s v="East-Eve"/>
  </r>
  <r>
    <n v="1069"/>
    <x v="321"/>
    <s v="Charlie"/>
    <s v="North"/>
    <n v="6283.68"/>
    <n v="23"/>
    <s v="Furniture"/>
    <n v="530.24"/>
    <n v="987.41"/>
    <s v="Returning"/>
    <n v="0.23"/>
    <s v="Credit Card"/>
    <s v="Online"/>
    <s v="North-Charlie"/>
  </r>
  <r>
    <n v="1047"/>
    <x v="93"/>
    <s v="Eve"/>
    <s v="North"/>
    <n v="8657.89"/>
    <n v="32"/>
    <s v="Electronics"/>
    <n v="367.98"/>
    <n v="806.14"/>
    <s v="Returning"/>
    <n v="0.22"/>
    <s v="Credit Card"/>
    <s v="Retail"/>
    <s v="North-Eve"/>
  </r>
  <r>
    <n v="1025"/>
    <x v="319"/>
    <s v="Charlie"/>
    <s v="West"/>
    <n v="5910.67"/>
    <n v="40"/>
    <s v="Electronics"/>
    <n v="2983.85"/>
    <n v="3239.74"/>
    <s v="New"/>
    <n v="0.27"/>
    <s v="Credit Card"/>
    <s v="Online"/>
    <s v="West-Charlie"/>
  </r>
  <r>
    <n v="1066"/>
    <x v="193"/>
    <s v="Bob"/>
    <s v="West"/>
    <n v="5851.41"/>
    <n v="13"/>
    <s v="Furniture"/>
    <n v="4133.92"/>
    <n v="4358.37"/>
    <s v="New"/>
    <n v="0.13"/>
    <s v="Cash"/>
    <s v="Retail"/>
    <s v="West-Bob"/>
  </r>
  <r>
    <n v="1010"/>
    <x v="178"/>
    <s v="Charlie"/>
    <s v="North"/>
    <n v="9907.7199999999993"/>
    <n v="20"/>
    <s v="Furniture"/>
    <n v="4298.74"/>
    <n v="4475.1899999999996"/>
    <s v="Returning"/>
    <n v="0.16"/>
    <s v="Cash"/>
    <s v="Online"/>
    <s v="North-Charlie"/>
  </r>
  <r>
    <n v="1056"/>
    <x v="322"/>
    <s v="Bob"/>
    <s v="West"/>
    <n v="7591.63"/>
    <n v="35"/>
    <s v="Furniture"/>
    <n v="2344.9299999999998"/>
    <n v="2707.25"/>
    <s v="New"/>
    <n v="0.12"/>
    <s v="Credit Card"/>
    <s v="Retail"/>
    <s v="West-Bob"/>
  </r>
  <r>
    <n v="1030"/>
    <x v="254"/>
    <s v="Charlie"/>
    <s v="West"/>
    <n v="4478.71"/>
    <n v="5"/>
    <s v="Clothing"/>
    <n v="3932.14"/>
    <n v="4082.7599999999902"/>
    <s v="New"/>
    <n v="0.26"/>
    <s v="Credit Card"/>
    <s v="Online"/>
    <s v="West-Charlie"/>
  </r>
  <r>
    <n v="1005"/>
    <x v="175"/>
    <s v="Eve"/>
    <s v="North"/>
    <n v="7103.23"/>
    <n v="9"/>
    <s v="Electronics"/>
    <n v="4737.0600000000004"/>
    <n v="4869.5"/>
    <s v="New"/>
    <n v="7.0000000000000007E-2"/>
    <s v="Cash"/>
    <s v="Online"/>
    <s v="North-Eve"/>
  </r>
  <r>
    <n v="1033"/>
    <x v="257"/>
    <s v="Eve"/>
    <s v="East"/>
    <n v="3953.38"/>
    <n v="29"/>
    <s v="Clothing"/>
    <n v="1412.09"/>
    <n v="1596.6499999999901"/>
    <s v="Returning"/>
    <n v="7.0000000000000007E-2"/>
    <s v="Cash"/>
    <s v="Online"/>
    <s v="East-Eve"/>
  </r>
  <r>
    <n v="1065"/>
    <x v="212"/>
    <s v="Eve"/>
    <s v="North"/>
    <n v="2365.87"/>
    <n v="6"/>
    <s v="Clothing"/>
    <n v="2019.9"/>
    <n v="2116.7399999999998"/>
    <s v="New"/>
    <n v="0.11"/>
    <s v="Credit Card"/>
    <s v="Online"/>
    <s v="North-Eve"/>
  </r>
  <r>
    <n v="1018"/>
    <x v="157"/>
    <s v="David"/>
    <s v="West"/>
    <n v="6008.83"/>
    <n v="25"/>
    <s v="Food"/>
    <n v="4660.82"/>
    <n v="5011.4299999999903"/>
    <s v="New"/>
    <n v="7.0000000000000007E-2"/>
    <s v="Bank Transfer"/>
    <s v="Online"/>
    <s v="West-David"/>
  </r>
  <r>
    <n v="1096"/>
    <x v="323"/>
    <s v="Alice"/>
    <s v="East"/>
    <n v="9289"/>
    <n v="31"/>
    <s v="Electronics"/>
    <n v="1724.24"/>
    <n v="2036.2"/>
    <s v="New"/>
    <n v="0.17"/>
    <s v="Cash"/>
    <s v="Online"/>
    <s v="East-Alice"/>
  </r>
  <r>
    <n v="1049"/>
    <x v="39"/>
    <s v="Eve"/>
    <s v="South"/>
    <n v="9298.48"/>
    <n v="22"/>
    <s v="Electronics"/>
    <n v="4573.6899999999996"/>
    <n v="4820.2999999999902"/>
    <s v="New"/>
    <n v="0.04"/>
    <s v="Cash"/>
    <s v="Online"/>
    <s v="South-Eve"/>
  </r>
  <r>
    <n v="1011"/>
    <x v="324"/>
    <s v="Bob"/>
    <s v="East"/>
    <n v="3484.86"/>
    <n v="2"/>
    <s v="Furniture"/>
    <n v="4906.17"/>
    <n v="5107.43"/>
    <s v="Returning"/>
    <n v="0.1"/>
    <s v="Cash"/>
    <s v="Online"/>
    <s v="East-Bob"/>
  </r>
  <r>
    <n v="1085"/>
    <x v="325"/>
    <s v="Eve"/>
    <s v="West"/>
    <n v="5324.01"/>
    <n v="45"/>
    <s v="Furniture"/>
    <n v="3325.96"/>
    <n v="3781.4"/>
    <s v="Returning"/>
    <n v="0.27"/>
    <s v="Credit Card"/>
    <s v="Online"/>
    <s v="West-Eve"/>
  </r>
  <r>
    <n v="1026"/>
    <x v="45"/>
    <s v="David"/>
    <s v="East"/>
    <n v="2195.1999999999998"/>
    <n v="5"/>
    <s v="Food"/>
    <n v="4093.61"/>
    <n v="4117.88"/>
    <s v="Returning"/>
    <n v="0.12"/>
    <s v="Credit Card"/>
    <s v="Retail"/>
    <s v="East-David"/>
  </r>
  <r>
    <n v="1063"/>
    <x v="11"/>
    <s v="Bob"/>
    <s v="North"/>
    <n v="9956.75"/>
    <n v="27"/>
    <s v="Clothing"/>
    <n v="3760.25"/>
    <n v="4147.1099999999997"/>
    <s v="New"/>
    <n v="0.22"/>
    <s v="Cash"/>
    <s v="Online"/>
    <s v="North-Bob"/>
  </r>
  <r>
    <n v="1089"/>
    <x v="178"/>
    <s v="David"/>
    <s v="South"/>
    <n v="9813.07"/>
    <n v="25"/>
    <s v="Furniture"/>
    <n v="3512.69"/>
    <n v="3964.63"/>
    <s v="Returning"/>
    <n v="0.03"/>
    <s v="Credit Card"/>
    <s v="Retail"/>
    <s v="South-David"/>
  </r>
  <r>
    <n v="1086"/>
    <x v="21"/>
    <s v="Bob"/>
    <s v="South"/>
    <n v="6530.14"/>
    <n v="8"/>
    <s v="Furniture"/>
    <n v="1569.31"/>
    <n v="1798.02"/>
    <s v="New"/>
    <n v="7.0000000000000007E-2"/>
    <s v="Credit Card"/>
    <s v="Online"/>
    <s v="South-Bob"/>
  </r>
  <r>
    <n v="1059"/>
    <x v="292"/>
    <s v="Charlie"/>
    <s v="South"/>
    <n v="8063.7"/>
    <n v="1"/>
    <s v="Electronics"/>
    <n v="332.62"/>
    <n v="612.46"/>
    <s v="Returning"/>
    <n v="0.24"/>
    <s v="Cash"/>
    <s v="Retail"/>
    <s v="South-Charlie"/>
  </r>
  <r>
    <n v="1027"/>
    <x v="118"/>
    <s v="Alice"/>
    <s v="West"/>
    <n v="7179.49"/>
    <n v="20"/>
    <s v="Electronics"/>
    <n v="1748.11"/>
    <n v="2220.9"/>
    <s v="New"/>
    <n v="0.23"/>
    <s v="Credit Card"/>
    <s v="Retail"/>
    <s v="West-Alice"/>
  </r>
  <r>
    <n v="1049"/>
    <x v="326"/>
    <s v="Alice"/>
    <s v="West"/>
    <n v="5972.27"/>
    <n v="44"/>
    <s v="Furniture"/>
    <n v="3351.33"/>
    <n v="3465.35"/>
    <s v="Returning"/>
    <n v="0.12"/>
    <s v="Bank Transfer"/>
    <s v="Online"/>
    <s v="West-Alice"/>
  </r>
  <r>
    <n v="1077"/>
    <x v="178"/>
    <s v="David"/>
    <s v="South"/>
    <n v="628.15"/>
    <n v="23"/>
    <s v="Electronics"/>
    <n v="557.52"/>
    <n v="822.39"/>
    <s v="Returning"/>
    <n v="0.28999999999999998"/>
    <s v="Credit Card"/>
    <s v="Online"/>
    <s v="South-David"/>
  </r>
  <r>
    <n v="1033"/>
    <x v="121"/>
    <s v="Alice"/>
    <s v="East"/>
    <n v="4602.17"/>
    <n v="32"/>
    <s v="Food"/>
    <n v="108.99"/>
    <n v="351.6"/>
    <s v="Returning"/>
    <n v="0.27"/>
    <s v="Credit Card"/>
    <s v="Retail"/>
    <s v="East-Alice"/>
  </r>
  <r>
    <n v="1098"/>
    <x v="37"/>
    <s v="David"/>
    <s v="South"/>
    <n v="6780.38"/>
    <n v="11"/>
    <s v="Furniture"/>
    <n v="741.48"/>
    <n v="878.09"/>
    <s v="New"/>
    <n v="0.28999999999999998"/>
    <s v="Cash"/>
    <s v="Retail"/>
    <s v="South-David"/>
  </r>
  <r>
    <n v="1099"/>
    <x v="108"/>
    <s v="David"/>
    <s v="East"/>
    <n v="6807.56"/>
    <n v="39"/>
    <s v="Electronics"/>
    <n v="3592.89"/>
    <n v="4004"/>
    <s v="New"/>
    <n v="0.13"/>
    <s v="Cash"/>
    <s v="Online"/>
    <s v="East-David"/>
  </r>
  <r>
    <n v="1001"/>
    <x v="75"/>
    <s v="David"/>
    <s v="East"/>
    <n v="3793.91"/>
    <n v="47"/>
    <s v="Food"/>
    <n v="4865.33"/>
    <n v="5316.13"/>
    <s v="New"/>
    <n v="0.06"/>
    <s v="Bank Transfer"/>
    <s v="Online"/>
    <s v="East-David"/>
  </r>
  <r>
    <n v="1021"/>
    <x v="193"/>
    <s v="Alice"/>
    <s v="West"/>
    <n v="9422.75"/>
    <n v="24"/>
    <s v="Electronics"/>
    <n v="4916.17"/>
    <n v="5309.32"/>
    <s v="Returning"/>
    <n v="0.19"/>
    <s v="Credit Card"/>
    <s v="Online"/>
    <s v="West-Alice"/>
  </r>
  <r>
    <n v="1055"/>
    <x v="76"/>
    <s v="David"/>
    <s v="East"/>
    <n v="1756.83"/>
    <n v="11"/>
    <s v="Electronics"/>
    <n v="2495.1999999999998"/>
    <n v="2600.9299999999998"/>
    <s v="New"/>
    <n v="0.21"/>
    <s v="Bank Transfer"/>
    <s v="Retail"/>
    <s v="East-David"/>
  </r>
  <r>
    <n v="1006"/>
    <x v="320"/>
    <s v="Alice"/>
    <s v="South"/>
    <n v="5053.5600000000004"/>
    <n v="29"/>
    <s v="Electronics"/>
    <n v="4353.29"/>
    <n v="4405.8"/>
    <s v="New"/>
    <n v="0.04"/>
    <s v="Bank Transfer"/>
    <s v="Online"/>
    <s v="South-Alice"/>
  </r>
  <r>
    <n v="1092"/>
    <x v="243"/>
    <s v="David"/>
    <s v="West"/>
    <n v="6939.75"/>
    <n v="26"/>
    <s v="Furniture"/>
    <n v="3697.29"/>
    <n v="4003.96"/>
    <s v="New"/>
    <n v="0.24"/>
    <s v="Cash"/>
    <s v="Online"/>
    <s v="West-David"/>
  </r>
  <r>
    <n v="1081"/>
    <x v="222"/>
    <s v="Eve"/>
    <s v="North"/>
    <n v="7001.64"/>
    <n v="16"/>
    <s v="Clothing"/>
    <n v="2530.15"/>
    <n v="2568.13"/>
    <s v="New"/>
    <n v="0.01"/>
    <s v="Credit Card"/>
    <s v="Online"/>
    <s v="North-Eve"/>
  </r>
  <r>
    <n v="1069"/>
    <x v="181"/>
    <s v="David"/>
    <s v="North"/>
    <n v="6521.53"/>
    <n v="35"/>
    <s v="Electronics"/>
    <n v="2885.16"/>
    <n v="3224.8399999999901"/>
    <s v="New"/>
    <n v="0.14000000000000001"/>
    <s v="Cash"/>
    <s v="Online"/>
    <s v="North-David"/>
  </r>
  <r>
    <n v="1095"/>
    <x v="3"/>
    <s v="Bob"/>
    <s v="West"/>
    <n v="2825.35"/>
    <n v="20"/>
    <s v="Food"/>
    <n v="729.27"/>
    <n v="999.18"/>
    <s v="New"/>
    <n v="0.1"/>
    <s v="Bank Transfer"/>
    <s v="Online"/>
    <s v="West-Bob"/>
  </r>
  <r>
    <n v="1005"/>
    <x v="154"/>
    <s v="David"/>
    <s v="South"/>
    <n v="1646.45"/>
    <n v="46"/>
    <s v="Furniture"/>
    <n v="4691.42"/>
    <n v="5026.1899999999996"/>
    <s v="Returning"/>
    <n v="0.22"/>
    <s v="Bank Transfer"/>
    <s v="Retail"/>
    <s v="South-David"/>
  </r>
  <r>
    <n v="1003"/>
    <x v="327"/>
    <s v="Charlie"/>
    <s v="North"/>
    <n v="6395.81"/>
    <n v="3"/>
    <s v="Furniture"/>
    <n v="1792.05"/>
    <n v="2091.23"/>
    <s v="Returning"/>
    <n v="0.09"/>
    <s v="Cash"/>
    <s v="Retail"/>
    <s v="North-Charlie"/>
  </r>
  <r>
    <n v="1053"/>
    <x v="131"/>
    <s v="David"/>
    <s v="North"/>
    <n v="6033.09"/>
    <n v="1"/>
    <s v="Food"/>
    <n v="2258.44"/>
    <n v="2475.56"/>
    <s v="New"/>
    <n v="0.25"/>
    <s v="Cash"/>
    <s v="Online"/>
    <s v="North-David"/>
  </r>
  <r>
    <n v="1023"/>
    <x v="296"/>
    <s v="Bob"/>
    <s v="East"/>
    <n v="1875.62"/>
    <n v="47"/>
    <s v="Electronics"/>
    <n v="3374.72"/>
    <n v="3483.1499999999901"/>
    <s v="Returning"/>
    <n v="0.18"/>
    <s v="Cash"/>
    <s v="Online"/>
    <s v="East-Bob"/>
  </r>
  <r>
    <n v="1053"/>
    <x v="76"/>
    <s v="Bob"/>
    <s v="East"/>
    <n v="7080.88"/>
    <n v="1"/>
    <s v="Clothing"/>
    <n v="1702.82"/>
    <n v="1862.61"/>
    <s v="Returning"/>
    <n v="0.24"/>
    <s v="Cash"/>
    <s v="Retail"/>
    <s v="East-Bob"/>
  </r>
  <r>
    <n v="1037"/>
    <x v="291"/>
    <s v="Alice"/>
    <s v="South"/>
    <n v="4606.2"/>
    <n v="17"/>
    <s v="Electronics"/>
    <n v="1308.58"/>
    <n v="1575.59"/>
    <s v="New"/>
    <n v="0.3"/>
    <s v="Cash"/>
    <s v="Online"/>
    <s v="South-Alice"/>
  </r>
  <r>
    <n v="1074"/>
    <x v="216"/>
    <s v="Eve"/>
    <s v="West"/>
    <n v="6710.83"/>
    <n v="2"/>
    <s v="Food"/>
    <n v="3173.69"/>
    <n v="3503.11"/>
    <s v="New"/>
    <n v="0.2"/>
    <s v="Bank Transfer"/>
    <s v="Retail"/>
    <s v="West-Eve"/>
  </r>
  <r>
    <n v="1074"/>
    <x v="160"/>
    <s v="David"/>
    <s v="South"/>
    <n v="8389.93"/>
    <n v="29"/>
    <s v="Furniture"/>
    <n v="173.67"/>
    <n v="565.62"/>
    <s v="Returning"/>
    <n v="0.3"/>
    <s v="Cash"/>
    <s v="Online"/>
    <s v="South-David"/>
  </r>
  <r>
    <n v="1083"/>
    <x v="325"/>
    <s v="Alice"/>
    <s v="West"/>
    <n v="1780.31"/>
    <n v="20"/>
    <s v="Clothing"/>
    <n v="3617.59"/>
    <n v="4003.5"/>
    <s v="New"/>
    <n v="0.01"/>
    <s v="Credit Card"/>
    <s v="Retail"/>
    <s v="West-Alice"/>
  </r>
  <r>
    <n v="1017"/>
    <x v="120"/>
    <s v="Eve"/>
    <s v="North"/>
    <n v="289.52999999999997"/>
    <n v="6"/>
    <s v="Furniture"/>
    <n v="2594.42"/>
    <n v="3081.04"/>
    <s v="Returning"/>
    <n v="0.1"/>
    <s v="Bank Transfer"/>
    <s v="Retail"/>
    <s v="North-Eve"/>
  </r>
  <r>
    <n v="1085"/>
    <x v="201"/>
    <s v="David"/>
    <s v="East"/>
    <n v="7813.12"/>
    <n v="8"/>
    <s v="Food"/>
    <n v="3048.48"/>
    <n v="3198.54"/>
    <s v="Returning"/>
    <n v="0.03"/>
    <s v="Bank Transfer"/>
    <s v="Online"/>
    <s v="East-David"/>
  </r>
  <r>
    <n v="1078"/>
    <x v="315"/>
    <s v="Charlie"/>
    <s v="South"/>
    <n v="6136"/>
    <n v="29"/>
    <s v="Electronics"/>
    <n v="3177.81"/>
    <n v="3222.65"/>
    <s v="Returning"/>
    <n v="0.08"/>
    <s v="Credit Card"/>
    <s v="Retail"/>
    <s v="South-Charlie"/>
  </r>
  <r>
    <n v="1073"/>
    <x v="10"/>
    <s v="David"/>
    <s v="South"/>
    <n v="7026.43"/>
    <n v="48"/>
    <s v="Clothing"/>
    <n v="2658.9"/>
    <n v="2838.27"/>
    <s v="New"/>
    <n v="0.25"/>
    <s v="Credit Card"/>
    <s v="Online"/>
    <s v="South-David"/>
  </r>
  <r>
    <n v="1001"/>
    <x v="232"/>
    <s v="Bob"/>
    <s v="West"/>
    <n v="8397.73"/>
    <n v="33"/>
    <s v="Furniture"/>
    <n v="2933.54"/>
    <n v="3307.75"/>
    <s v="Returning"/>
    <n v="0.01"/>
    <s v="Bank Transfer"/>
    <s v="Retail"/>
    <s v="West-Bob"/>
  </r>
  <r>
    <n v="1051"/>
    <x v="227"/>
    <s v="Bob"/>
    <s v="West"/>
    <n v="8047.83"/>
    <n v="3"/>
    <s v="Furniture"/>
    <n v="3434.75"/>
    <n v="3659.42"/>
    <s v="New"/>
    <n v="0.16"/>
    <s v="Cash"/>
    <s v="Online"/>
    <s v="West-Bob"/>
  </r>
  <r>
    <n v="1045"/>
    <x v="267"/>
    <s v="Charlie"/>
    <s v="South"/>
    <n v="9613.11"/>
    <n v="35"/>
    <s v="Furniture"/>
    <n v="3777.94"/>
    <n v="4188.66"/>
    <s v="New"/>
    <n v="0.17"/>
    <s v="Bank Transfer"/>
    <s v="Online"/>
    <s v="South-Charlie"/>
  </r>
  <r>
    <n v="1077"/>
    <x v="279"/>
    <s v="Alice"/>
    <s v="West"/>
    <n v="5405.76"/>
    <n v="5"/>
    <s v="Electronics"/>
    <n v="3650.89"/>
    <n v="3930.06"/>
    <s v="New"/>
    <n v="0.17"/>
    <s v="Bank Transfer"/>
    <s v="Online"/>
    <s v="West-Alice"/>
  </r>
  <r>
    <n v="1004"/>
    <x v="326"/>
    <s v="Eve"/>
    <s v="South"/>
    <n v="4936.1099999999997"/>
    <n v="27"/>
    <s v="Clothing"/>
    <n v="4354.6000000000004"/>
    <n v="4820.2"/>
    <s v="New"/>
    <n v="0.14000000000000001"/>
    <s v="Credit Card"/>
    <s v="Retail"/>
    <s v="South-Eve"/>
  </r>
  <r>
    <n v="1062"/>
    <x v="328"/>
    <s v="David"/>
    <s v="South"/>
    <n v="4078.68"/>
    <n v="44"/>
    <s v="Electronics"/>
    <n v="987.74"/>
    <n v="1462.19"/>
    <s v="New"/>
    <n v="0.24"/>
    <s v="Bank Transfer"/>
    <s v="Online"/>
    <s v="South-David"/>
  </r>
  <r>
    <n v="1065"/>
    <x v="243"/>
    <s v="Bob"/>
    <s v="South"/>
    <n v="1621.54"/>
    <n v="12"/>
    <s v="Electronics"/>
    <n v="2035.68"/>
    <n v="2079.64"/>
    <s v="Returning"/>
    <n v="0.04"/>
    <s v="Cash"/>
    <s v="Online"/>
    <s v="South-Bob"/>
  </r>
  <r>
    <n v="1032"/>
    <x v="288"/>
    <s v="Alice"/>
    <s v="North"/>
    <n v="5768.81"/>
    <n v="20"/>
    <s v="Electronics"/>
    <n v="4741.59"/>
    <n v="4975.2299999999996"/>
    <s v="New"/>
    <n v="0.09"/>
    <s v="Credit Card"/>
    <s v="Online"/>
    <s v="North-Alice"/>
  </r>
  <r>
    <n v="1034"/>
    <x v="88"/>
    <s v="Charlie"/>
    <s v="West"/>
    <n v="2842.42"/>
    <n v="45"/>
    <s v="Food"/>
    <n v="2013.12"/>
    <n v="2321.87"/>
    <s v="New"/>
    <n v="0.18"/>
    <s v="Bank Transfer"/>
    <s v="Retail"/>
    <s v="West-Charlie"/>
  </r>
  <r>
    <n v="1092"/>
    <x v="116"/>
    <s v="Bob"/>
    <s v="East"/>
    <n v="9220.94"/>
    <n v="20"/>
    <s v="Food"/>
    <n v="668.11"/>
    <n v="803.49"/>
    <s v="New"/>
    <n v="0.21"/>
    <s v="Bank Transfer"/>
    <s v="Online"/>
    <s v="East-Bob"/>
  </r>
  <r>
    <n v="1095"/>
    <x v="329"/>
    <s v="Charlie"/>
    <s v="East"/>
    <n v="5873.59"/>
    <n v="9"/>
    <s v="Food"/>
    <n v="2650.95"/>
    <n v="2860.4199999999901"/>
    <s v="New"/>
    <n v="0.12"/>
    <s v="Cash"/>
    <s v="Retail"/>
    <s v="East-Charlie"/>
  </r>
  <r>
    <n v="1072"/>
    <x v="117"/>
    <s v="David"/>
    <s v="West"/>
    <n v="5969.12"/>
    <n v="39"/>
    <s v="Clothing"/>
    <n v="591.98"/>
    <n v="934.04"/>
    <s v="New"/>
    <n v="0.26"/>
    <s v="Bank Transfer"/>
    <s v="Retail"/>
    <s v="West-David"/>
  </r>
  <r>
    <n v="1039"/>
    <x v="203"/>
    <s v="Eve"/>
    <s v="South"/>
    <n v="3613.75"/>
    <n v="4"/>
    <s v="Electronics"/>
    <n v="1054.1199999999999"/>
    <n v="1175.21999999999"/>
    <s v="Returning"/>
    <n v="0.12"/>
    <s v="Bank Transfer"/>
    <s v="Retail"/>
    <s v="South-Eve"/>
  </r>
  <r>
    <n v="1026"/>
    <x v="324"/>
    <s v="Bob"/>
    <s v="East"/>
    <n v="614.69000000000005"/>
    <n v="19"/>
    <s v="Electronics"/>
    <n v="4991.68"/>
    <n v="5296.65"/>
    <s v="New"/>
    <n v="0.12"/>
    <s v="Bank Transfer"/>
    <s v="Online"/>
    <s v="East-Bob"/>
  </r>
  <r>
    <n v="1034"/>
    <x v="243"/>
    <s v="Bob"/>
    <s v="East"/>
    <n v="414.26"/>
    <n v="38"/>
    <s v="Food"/>
    <n v="2729.75"/>
    <n v="3081.5"/>
    <s v="New"/>
    <n v="0.01"/>
    <s v="Bank Transfer"/>
    <s v="Online"/>
    <s v="East-Bob"/>
  </r>
  <r>
    <n v="1054"/>
    <x v="330"/>
    <s v="David"/>
    <s v="West"/>
    <n v="4291.0200000000004"/>
    <n v="27"/>
    <s v="Electronics"/>
    <n v="1456.09"/>
    <n v="1510.4299999999901"/>
    <s v="Returning"/>
    <n v="0.17"/>
    <s v="Cash"/>
    <s v="Retail"/>
    <s v="West-David"/>
  </r>
  <r>
    <n v="1003"/>
    <x v="331"/>
    <s v="Alice"/>
    <s v="East"/>
    <n v="937.2"/>
    <n v="45"/>
    <s v="Electronics"/>
    <n v="4974.1400000000003"/>
    <n v="5227.93"/>
    <s v="New"/>
    <n v="0.21"/>
    <s v="Bank Transfer"/>
    <s v="Online"/>
    <s v="East-Alice"/>
  </r>
  <r>
    <n v="1050"/>
    <x v="272"/>
    <s v="Eve"/>
    <s v="South"/>
    <n v="6107.78"/>
    <n v="43"/>
    <s v="Furniture"/>
    <n v="4834.47"/>
    <n v="4973.38"/>
    <s v="Returning"/>
    <n v="0.03"/>
    <s v="Bank Transfer"/>
    <s v="Online"/>
    <s v="South-Eve"/>
  </r>
  <r>
    <n v="1012"/>
    <x v="89"/>
    <s v="Bob"/>
    <s v="West"/>
    <n v="8821.6299999999992"/>
    <n v="13"/>
    <s v="Electronics"/>
    <n v="2231.66"/>
    <n v="2596.6099999999901"/>
    <s v="Returning"/>
    <n v="0.09"/>
    <s v="Bank Transfer"/>
    <s v="Retail"/>
    <s v="West-Bob"/>
  </r>
  <r>
    <n v="1065"/>
    <x v="253"/>
    <s v="Eve"/>
    <s v="South"/>
    <n v="8840.86"/>
    <n v="13"/>
    <s v="Furniture"/>
    <n v="1339"/>
    <n v="1441.88"/>
    <s v="Returning"/>
    <n v="0.23"/>
    <s v="Credit Card"/>
    <s v="Retail"/>
    <s v="South-Eve"/>
  </r>
  <r>
    <n v="1054"/>
    <x v="332"/>
    <s v="Bob"/>
    <s v="East"/>
    <n v="6624.55"/>
    <n v="22"/>
    <s v="Electronics"/>
    <n v="4200.08"/>
    <n v="4647.28"/>
    <s v="Returning"/>
    <n v="0.11"/>
    <s v="Cash"/>
    <s v="Online"/>
    <s v="East-Bob"/>
  </r>
  <r>
    <n v="1005"/>
    <x v="94"/>
    <s v="Eve"/>
    <s v="East"/>
    <n v="2191.1999999999998"/>
    <n v="28"/>
    <s v="Clothing"/>
    <n v="3592.32"/>
    <n v="3813.48"/>
    <s v="New"/>
    <n v="7.0000000000000007E-2"/>
    <s v="Credit Card"/>
    <s v="Retail"/>
    <s v="East-Eve"/>
  </r>
  <r>
    <n v="1094"/>
    <x v="248"/>
    <s v="Charlie"/>
    <s v="South"/>
    <n v="8643.67"/>
    <n v="47"/>
    <s v="Food"/>
    <n v="3450.36"/>
    <n v="3557.38"/>
    <s v="New"/>
    <n v="0.2"/>
    <s v="Credit Card"/>
    <s v="Online"/>
    <s v="South-Charlie"/>
  </r>
  <r>
    <n v="1094"/>
    <x v="120"/>
    <s v="Bob"/>
    <s v="North"/>
    <n v="8872.33"/>
    <n v="45"/>
    <s v="Furniture"/>
    <n v="4470.91"/>
    <n v="4695.54"/>
    <s v="Returning"/>
    <n v="0.06"/>
    <s v="Cash"/>
    <s v="Retail"/>
    <s v="North-Bob"/>
  </r>
  <r>
    <n v="1057"/>
    <x v="115"/>
    <s v="Eve"/>
    <s v="East"/>
    <n v="2046.87"/>
    <n v="22"/>
    <s v="Food"/>
    <n v="3462.61"/>
    <n v="3672.89"/>
    <s v="Returning"/>
    <n v="0.27"/>
    <s v="Credit Card"/>
    <s v="Online"/>
    <s v="East-Eve"/>
  </r>
  <r>
    <n v="1017"/>
    <x v="195"/>
    <s v="Alice"/>
    <s v="North"/>
    <n v="7400.52"/>
    <n v="43"/>
    <s v="Furniture"/>
    <n v="1454.8"/>
    <n v="1674.97"/>
    <s v="New"/>
    <n v="0.03"/>
    <s v="Credit Card"/>
    <s v="Online"/>
    <s v="North-Alice"/>
  </r>
  <r>
    <n v="1047"/>
    <x v="312"/>
    <s v="Charlie"/>
    <s v="East"/>
    <n v="2936.54"/>
    <n v="19"/>
    <s v="Furniture"/>
    <n v="3484.62"/>
    <n v="3781.5499999999902"/>
    <s v="Returning"/>
    <n v="0.21"/>
    <s v="Credit Card"/>
    <s v="Retail"/>
    <s v="East-Charlie"/>
  </r>
  <r>
    <n v="1023"/>
    <x v="80"/>
    <s v="Charlie"/>
    <s v="North"/>
    <n v="8046.14"/>
    <n v="8"/>
    <s v="Furniture"/>
    <n v="1563.78"/>
    <n v="1829.1599999999901"/>
    <s v="Returning"/>
    <n v="0.15"/>
    <s v="Cash"/>
    <s v="Online"/>
    <s v="North-Charlie"/>
  </r>
  <r>
    <n v="1079"/>
    <x v="3"/>
    <s v="Alice"/>
    <s v="North"/>
    <n v="9972.66"/>
    <n v="8"/>
    <s v="Clothing"/>
    <n v="3808.23"/>
    <n v="3891.62"/>
    <s v="Returning"/>
    <n v="0.26"/>
    <s v="Bank Transfer"/>
    <s v="Online"/>
    <s v="North-Alice"/>
  </r>
  <r>
    <n v="1085"/>
    <x v="283"/>
    <s v="Eve"/>
    <s v="North"/>
    <n v="397.26"/>
    <n v="42"/>
    <s v="Electronics"/>
    <n v="3117.75"/>
    <n v="3159.88"/>
    <s v="New"/>
    <n v="0.04"/>
    <s v="Cash"/>
    <s v="Retail"/>
    <s v="North-Eve"/>
  </r>
  <r>
    <n v="1014"/>
    <x v="132"/>
    <s v="David"/>
    <s v="South"/>
    <n v="8983.92"/>
    <n v="26"/>
    <s v="Furniture"/>
    <n v="433.19"/>
    <n v="800.6"/>
    <s v="Returning"/>
    <n v="0.2"/>
    <s v="Cash"/>
    <s v="Online"/>
    <s v="South-David"/>
  </r>
  <r>
    <n v="1066"/>
    <x v="231"/>
    <s v="Alice"/>
    <s v="North"/>
    <n v="6264.04"/>
    <n v="48"/>
    <s v="Clothing"/>
    <n v="2588.54"/>
    <n v="2872.8"/>
    <s v="New"/>
    <n v="0.17"/>
    <s v="Cash"/>
    <s v="Online"/>
    <s v="North-Alice"/>
  </r>
  <r>
    <n v="1075"/>
    <x v="196"/>
    <s v="Eve"/>
    <s v="North"/>
    <n v="9736.49"/>
    <n v="26"/>
    <s v="Furniture"/>
    <n v="1749.34"/>
    <n v="1935.25"/>
    <s v="New"/>
    <n v="0.14000000000000001"/>
    <s v="Credit Card"/>
    <s v="Online"/>
    <s v="North-Eve"/>
  </r>
  <r>
    <n v="1051"/>
    <x v="78"/>
    <s v="Alice"/>
    <s v="North"/>
    <n v="4703.59"/>
    <n v="23"/>
    <s v="Electronics"/>
    <n v="1676.42"/>
    <n v="2082.52"/>
    <s v="New"/>
    <n v="0.15"/>
    <s v="Bank Transfer"/>
    <s v="Retail"/>
    <s v="North-Alice"/>
  </r>
  <r>
    <n v="1038"/>
    <x v="159"/>
    <s v="Alice"/>
    <s v="East"/>
    <n v="8489.14"/>
    <n v="43"/>
    <s v="Furniture"/>
    <n v="3031.17"/>
    <n v="3231.32"/>
    <s v="Returning"/>
    <n v="0.22"/>
    <s v="Cash"/>
    <s v="Retail"/>
    <s v="East-Alice"/>
  </r>
  <r>
    <n v="1064"/>
    <x v="167"/>
    <s v="Bob"/>
    <s v="North"/>
    <n v="717.7"/>
    <n v="13"/>
    <s v="Clothing"/>
    <n v="1645.51"/>
    <n v="2045.53"/>
    <s v="Returning"/>
    <n v="0.28000000000000003"/>
    <s v="Cash"/>
    <s v="Retail"/>
    <s v="North-Bob"/>
  </r>
  <r>
    <n v="1098"/>
    <x v="176"/>
    <s v="Eve"/>
    <s v="East"/>
    <n v="3419.26"/>
    <n v="28"/>
    <s v="Electronics"/>
    <n v="3895.62"/>
    <n v="4055.44"/>
    <s v="New"/>
    <n v="0.03"/>
    <s v="Bank Transfer"/>
    <s v="Retail"/>
    <s v="East-Eve"/>
  </r>
  <r>
    <n v="1038"/>
    <x v="288"/>
    <s v="David"/>
    <s v="North"/>
    <n v="763.46"/>
    <n v="9"/>
    <s v="Clothing"/>
    <n v="400.42"/>
    <n v="446.11"/>
    <s v="New"/>
    <n v="0.01"/>
    <s v="Bank Transfer"/>
    <s v="Retail"/>
    <s v="North-David"/>
  </r>
  <r>
    <n v="1050"/>
    <x v="249"/>
    <s v="Bob"/>
    <s v="North"/>
    <n v="9755.9"/>
    <n v="20"/>
    <s v="Electronics"/>
    <n v="3318.92"/>
    <n v="3785.91"/>
    <s v="New"/>
    <n v="0.24"/>
    <s v="Bank Transfer"/>
    <s v="Online"/>
    <s v="North-Bob"/>
  </r>
  <r>
    <n v="1098"/>
    <x v="333"/>
    <s v="Alice"/>
    <s v="South"/>
    <n v="8188.04"/>
    <n v="19"/>
    <s v="Electronics"/>
    <n v="4055.51"/>
    <n v="4258.84"/>
    <s v="Returning"/>
    <n v="0.03"/>
    <s v="Credit Card"/>
    <s v="Online"/>
    <s v="South-Alice"/>
  </r>
  <r>
    <n v="1082"/>
    <x v="230"/>
    <s v="Alice"/>
    <s v="East"/>
    <n v="8540.2199999999993"/>
    <n v="48"/>
    <s v="Food"/>
    <n v="3380.52"/>
    <n v="3778.94"/>
    <s v="Returning"/>
    <n v="0.3"/>
    <s v="Bank Transfer"/>
    <s v="Online"/>
    <s v="East-Alice"/>
  </r>
  <r>
    <n v="1030"/>
    <x v="288"/>
    <s v="Alice"/>
    <s v="North"/>
    <n v="9385.86"/>
    <n v="39"/>
    <s v="Food"/>
    <n v="2511.2800000000002"/>
    <n v="2658.06"/>
    <s v="New"/>
    <n v="0.19"/>
    <s v="Credit Card"/>
    <s v="Retail"/>
    <s v="North-Alice"/>
  </r>
  <r>
    <n v="1079"/>
    <x v="17"/>
    <s v="Eve"/>
    <s v="East"/>
    <n v="942.52"/>
    <n v="12"/>
    <s v="Food"/>
    <n v="4754.0200000000004"/>
    <n v="5080.74"/>
    <s v="New"/>
    <n v="0.2"/>
    <s v="Cash"/>
    <s v="Online"/>
    <s v="East-Eve"/>
  </r>
  <r>
    <n v="1091"/>
    <x v="279"/>
    <s v="Eve"/>
    <s v="East"/>
    <n v="3917.42"/>
    <n v="15"/>
    <s v="Electronics"/>
    <n v="1534.7"/>
    <n v="1972.62"/>
    <s v="Returning"/>
    <n v="0.06"/>
    <s v="Credit Card"/>
    <s v="Retail"/>
    <s v="East-Eve"/>
  </r>
  <r>
    <n v="1051"/>
    <x v="10"/>
    <s v="Bob"/>
    <s v="West"/>
    <n v="803.25"/>
    <n v="31"/>
    <s v="Furniture"/>
    <n v="144.88"/>
    <n v="175.29"/>
    <s v="New"/>
    <n v="7.0000000000000007E-2"/>
    <s v="Bank Transfer"/>
    <s v="Online"/>
    <s v="West-Bob"/>
  </r>
  <r>
    <n v="1063"/>
    <x v="293"/>
    <s v="David"/>
    <s v="South"/>
    <n v="2186.85"/>
    <n v="14"/>
    <s v="Clothing"/>
    <n v="2188.35"/>
    <n v="2605.3599999999901"/>
    <s v="Returning"/>
    <n v="0.2"/>
    <s v="Credit Card"/>
    <s v="Retail"/>
    <s v="South-David"/>
  </r>
  <r>
    <n v="1098"/>
    <x v="200"/>
    <s v="Bob"/>
    <s v="South"/>
    <n v="2370.7199999999998"/>
    <n v="11"/>
    <s v="Clothing"/>
    <n v="213.41"/>
    <n v="503.36"/>
    <s v="Returning"/>
    <n v="0.27"/>
    <s v="Bank Transfer"/>
    <s v="Online"/>
    <s v="South-Bob"/>
  </r>
  <r>
    <n v="1052"/>
    <x v="25"/>
    <s v="Charlie"/>
    <s v="South"/>
    <n v="4744.16"/>
    <n v="26"/>
    <s v="Clothing"/>
    <n v="4771.99"/>
    <n v="5079.6499999999996"/>
    <s v="New"/>
    <n v="0.28999999999999998"/>
    <s v="Credit Card"/>
    <s v="Online"/>
    <s v="South-Charlie"/>
  </r>
  <r>
    <n v="1038"/>
    <x v="196"/>
    <s v="Alice"/>
    <s v="West"/>
    <n v="2758.77"/>
    <n v="42"/>
    <s v="Food"/>
    <n v="1089.0899999999999"/>
    <n v="1355.44"/>
    <s v="New"/>
    <n v="0.06"/>
    <s v="Cash"/>
    <s v="Retail"/>
    <s v="West-Alice"/>
  </r>
  <r>
    <n v="1097"/>
    <x v="188"/>
    <s v="Alice"/>
    <s v="West"/>
    <n v="1099.68"/>
    <n v="27"/>
    <s v="Electronics"/>
    <n v="3955.19"/>
    <n v="4393.68"/>
    <s v="Returning"/>
    <n v="0.04"/>
    <s v="Credit Card"/>
    <s v="Online"/>
    <s v="West-Alice"/>
  </r>
  <r>
    <n v="1088"/>
    <x v="142"/>
    <s v="Alice"/>
    <s v="South"/>
    <n v="1758.16"/>
    <n v="11"/>
    <s v="Food"/>
    <n v="3884.13"/>
    <n v="3915.41"/>
    <s v="Returning"/>
    <n v="0.02"/>
    <s v="Cash"/>
    <s v="Online"/>
    <s v="South-Alice"/>
  </r>
  <r>
    <n v="1079"/>
    <x v="275"/>
    <s v="Bob"/>
    <s v="West"/>
    <n v="1558.03"/>
    <n v="38"/>
    <s v="Furniture"/>
    <n v="1127.76"/>
    <n v="1265.6600000000001"/>
    <s v="Returning"/>
    <n v="0.26"/>
    <s v="Bank Transfer"/>
    <s v="Retail"/>
    <s v="West-Bob"/>
  </r>
  <r>
    <n v="1030"/>
    <x v="262"/>
    <s v="Bob"/>
    <s v="West"/>
    <n v="9733.4599999999991"/>
    <n v="34"/>
    <s v="Electronics"/>
    <n v="3125.07"/>
    <n v="3564.19"/>
    <s v="Returning"/>
    <n v="0.09"/>
    <s v="Cash"/>
    <s v="Online"/>
    <s v="West-Bob"/>
  </r>
  <r>
    <n v="1051"/>
    <x v="15"/>
    <s v="Alice"/>
    <s v="West"/>
    <n v="7617"/>
    <n v="43"/>
    <s v="Clothing"/>
    <n v="287.99"/>
    <n v="666.64"/>
    <s v="Returning"/>
    <n v="0"/>
    <s v="Bank Transfer"/>
    <s v="Online"/>
    <s v="West-Alice"/>
  </r>
  <r>
    <n v="1081"/>
    <x v="265"/>
    <s v="Bob"/>
    <s v="South"/>
    <n v="9680.84"/>
    <n v="19"/>
    <s v="Food"/>
    <n v="2443.69"/>
    <n v="2462.34"/>
    <s v="New"/>
    <n v="7.0000000000000007E-2"/>
    <s v="Bank Transfer"/>
    <s v="Retail"/>
    <s v="South-Bob"/>
  </r>
  <r>
    <n v="1005"/>
    <x v="91"/>
    <s v="Eve"/>
    <s v="South"/>
    <n v="4453.43"/>
    <n v="6"/>
    <s v="Food"/>
    <n v="122.5"/>
    <n v="385.83"/>
    <s v="Returning"/>
    <n v="0.1"/>
    <s v="Cash"/>
    <s v="Retail"/>
    <s v="South-Eve"/>
  </r>
  <r>
    <n v="1029"/>
    <x v="159"/>
    <s v="Eve"/>
    <s v="South"/>
    <n v="2855.85"/>
    <n v="46"/>
    <s v="Furniture"/>
    <n v="4609.66"/>
    <n v="4879.1499999999996"/>
    <s v="Returning"/>
    <n v="0.3"/>
    <s v="Cash"/>
    <s v="Retail"/>
    <s v="South-Eve"/>
  </r>
  <r>
    <n v="1004"/>
    <x v="109"/>
    <s v="Bob"/>
    <s v="West"/>
    <n v="8003.1"/>
    <n v="38"/>
    <s v="Furniture"/>
    <n v="4881.63"/>
    <n v="5088.0600000000004"/>
    <s v="Returning"/>
    <n v="0.16"/>
    <s v="Credit Card"/>
    <s v="Retail"/>
    <s v="West-Bob"/>
  </r>
  <r>
    <n v="1010"/>
    <x v="210"/>
    <s v="Alice"/>
    <s v="South"/>
    <n v="3329.91"/>
    <n v="49"/>
    <s v="Food"/>
    <n v="1150.3"/>
    <n v="1306.02"/>
    <s v="New"/>
    <n v="0.06"/>
    <s v="Credit Card"/>
    <s v="Retail"/>
    <s v="South-Alice"/>
  </r>
  <r>
    <n v="1056"/>
    <x v="241"/>
    <s v="Bob"/>
    <s v="West"/>
    <n v="3063.9"/>
    <n v="42"/>
    <s v="Furniture"/>
    <n v="1080.1199999999999"/>
    <n v="1424.1699999999901"/>
    <s v="New"/>
    <n v="0.1"/>
    <s v="Cash"/>
    <s v="Online"/>
    <s v="West-Bob"/>
  </r>
  <r>
    <n v="1017"/>
    <x v="85"/>
    <s v="Bob"/>
    <s v="North"/>
    <n v="2401.81"/>
    <n v="28"/>
    <s v="Clothing"/>
    <n v="3780.91"/>
    <n v="3892.73"/>
    <s v="Returning"/>
    <n v="0.1"/>
    <s v="Cash"/>
    <s v="Retail"/>
    <s v="North-Bob"/>
  </r>
  <r>
    <n v="1074"/>
    <x v="248"/>
    <s v="Bob"/>
    <s v="West"/>
    <n v="1383.82"/>
    <n v="1"/>
    <s v="Furniture"/>
    <n v="1304.23"/>
    <n v="1705.71"/>
    <s v="Returning"/>
    <n v="0.01"/>
    <s v="Cash"/>
    <s v="Retail"/>
    <s v="West-Bob"/>
  </r>
  <r>
    <n v="1017"/>
    <x v="294"/>
    <s v="Charlie"/>
    <s v="East"/>
    <n v="2638.98"/>
    <n v="35"/>
    <s v="Furniture"/>
    <n v="4480.63"/>
    <n v="4884.12"/>
    <s v="New"/>
    <n v="0.04"/>
    <s v="Cash"/>
    <s v="Online"/>
    <s v="East-Charlie"/>
  </r>
  <r>
    <n v="1084"/>
    <x v="270"/>
    <s v="Eve"/>
    <s v="South"/>
    <n v="3617.67"/>
    <n v="40"/>
    <s v="Food"/>
    <n v="2890.95"/>
    <n v="3104.43"/>
    <s v="New"/>
    <n v="0.21"/>
    <s v="Bank Transfer"/>
    <s v="Online"/>
    <s v="South-Eve"/>
  </r>
  <r>
    <n v="1088"/>
    <x v="250"/>
    <s v="David"/>
    <s v="South"/>
    <n v="6772.54"/>
    <n v="8"/>
    <s v="Food"/>
    <n v="1786.35"/>
    <n v="1935.29"/>
    <s v="New"/>
    <n v="0.04"/>
    <s v="Cash"/>
    <s v="Online"/>
    <s v="South-David"/>
  </r>
  <r>
    <n v="1069"/>
    <x v="126"/>
    <s v="David"/>
    <s v="East"/>
    <n v="719.39"/>
    <n v="47"/>
    <s v="Electronics"/>
    <n v="4171.83"/>
    <n v="4320.93"/>
    <s v="New"/>
    <n v="7.0000000000000007E-2"/>
    <s v="Cash"/>
    <s v="Online"/>
    <s v="East-David"/>
  </r>
  <r>
    <n v="1034"/>
    <x v="154"/>
    <s v="Charlie"/>
    <s v="West"/>
    <n v="2184.02"/>
    <n v="7"/>
    <s v="Electronics"/>
    <n v="2492.36"/>
    <n v="2738.68"/>
    <s v="Returning"/>
    <n v="0.11"/>
    <s v="Cash"/>
    <s v="Online"/>
    <s v="West-Charlie"/>
  </r>
  <r>
    <n v="1006"/>
    <x v="141"/>
    <s v="Bob"/>
    <s v="North"/>
    <n v="8109.33"/>
    <n v="11"/>
    <s v="Food"/>
    <n v="4562.58"/>
    <n v="4925.17"/>
    <s v="New"/>
    <n v="0.23"/>
    <s v="Cash"/>
    <s v="Retail"/>
    <s v="North-Bob"/>
  </r>
  <r>
    <n v="1053"/>
    <x v="67"/>
    <s v="Charlie"/>
    <s v="East"/>
    <n v="1554.53"/>
    <n v="39"/>
    <s v="Furniture"/>
    <n v="4643.67"/>
    <n v="4829.5200000000004"/>
    <s v="Returning"/>
    <n v="0.17"/>
    <s v="Bank Transfer"/>
    <s v="Online"/>
    <s v="East-Charlie"/>
  </r>
  <r>
    <n v="1066"/>
    <x v="166"/>
    <s v="Charlie"/>
    <s v="East"/>
    <n v="3492.19"/>
    <n v="4"/>
    <s v="Furniture"/>
    <n v="868.83"/>
    <n v="1177.75"/>
    <s v="Returning"/>
    <n v="0.21"/>
    <s v="Credit Card"/>
    <s v="Retail"/>
    <s v="East-Charlie"/>
  </r>
  <r>
    <n v="1077"/>
    <x v="318"/>
    <s v="Alice"/>
    <s v="West"/>
    <n v="8660.1200000000008"/>
    <n v="25"/>
    <s v="Electronics"/>
    <n v="61.5"/>
    <n v="258.91999999999899"/>
    <s v="New"/>
    <n v="0.17"/>
    <s v="Credit Card"/>
    <s v="Online"/>
    <s v="West-Alice"/>
  </r>
  <r>
    <n v="1043"/>
    <x v="111"/>
    <s v="Eve"/>
    <s v="South"/>
    <n v="1633.76"/>
    <n v="12"/>
    <s v="Electronics"/>
    <n v="4920.46"/>
    <n v="5079.68"/>
    <s v="New"/>
    <n v="0.21"/>
    <s v="Credit Card"/>
    <s v="Retail"/>
    <s v="South-Eve"/>
  </r>
  <r>
    <n v="1075"/>
    <x v="219"/>
    <s v="David"/>
    <s v="West"/>
    <n v="919.09"/>
    <n v="26"/>
    <s v="Electronics"/>
    <n v="4535.38"/>
    <n v="4557.5600000000004"/>
    <s v="New"/>
    <n v="0"/>
    <s v="Credit Card"/>
    <s v="Online"/>
    <s v="West-David"/>
  </r>
  <r>
    <n v="1023"/>
    <x v="53"/>
    <s v="Bob"/>
    <s v="East"/>
    <n v="4896.93"/>
    <n v="38"/>
    <s v="Clothing"/>
    <n v="324.45"/>
    <n v="336.37"/>
    <s v="New"/>
    <n v="0.28000000000000003"/>
    <s v="Credit Card"/>
    <s v="Retail"/>
    <s v="East-Bob"/>
  </r>
  <r>
    <n v="1055"/>
    <x v="15"/>
    <s v="David"/>
    <s v="East"/>
    <n v="3093.95"/>
    <n v="46"/>
    <s v="Clothing"/>
    <n v="4173.5200000000004"/>
    <n v="4294.8500000000004"/>
    <s v="Returning"/>
    <n v="0.03"/>
    <s v="Bank Transfer"/>
    <s v="Retail"/>
    <s v="East-David"/>
  </r>
  <r>
    <n v="1080"/>
    <x v="314"/>
    <s v="David"/>
    <s v="South"/>
    <n v="5677.74"/>
    <n v="12"/>
    <s v="Electronics"/>
    <n v="2316.13"/>
    <n v="2525.27"/>
    <s v="Returning"/>
    <n v="0.12"/>
    <s v="Credit Card"/>
    <s v="Retail"/>
    <s v="South-David"/>
  </r>
  <r>
    <n v="1095"/>
    <x v="313"/>
    <s v="Eve"/>
    <s v="South"/>
    <n v="8057.67"/>
    <n v="43"/>
    <s v="Furniture"/>
    <n v="1331.86"/>
    <n v="1758.98"/>
    <s v="Returning"/>
    <n v="0.23"/>
    <s v="Bank Transfer"/>
    <s v="Retail"/>
    <s v="South-Eve"/>
  </r>
  <r>
    <n v="1075"/>
    <x v="334"/>
    <s v="David"/>
    <s v="South"/>
    <n v="1457.77"/>
    <n v="37"/>
    <s v="Electronics"/>
    <n v="4399.8"/>
    <n v="4801.0600000000004"/>
    <s v="New"/>
    <n v="0.13"/>
    <s v="Bank Transfer"/>
    <s v="Retail"/>
    <s v="South-David"/>
  </r>
  <r>
    <n v="1016"/>
    <x v="168"/>
    <s v="David"/>
    <s v="West"/>
    <n v="5848.92"/>
    <n v="46"/>
    <s v="Clothing"/>
    <n v="1023.5"/>
    <n v="1164.4100000000001"/>
    <s v="Returning"/>
    <n v="0.28000000000000003"/>
    <s v="Credit Card"/>
    <s v="Retail"/>
    <s v="West-David"/>
  </r>
  <r>
    <n v="1008"/>
    <x v="274"/>
    <s v="Charlie"/>
    <s v="South"/>
    <n v="5104.54"/>
    <n v="24"/>
    <s v="Furniture"/>
    <n v="4739.13"/>
    <n v="4868.95"/>
    <s v="New"/>
    <n v="0.14000000000000001"/>
    <s v="Credit Card"/>
    <s v="Retail"/>
    <s v="South-Charlie"/>
  </r>
  <r>
    <n v="1004"/>
    <x v="43"/>
    <s v="Eve"/>
    <s v="East"/>
    <n v="1526.38"/>
    <n v="16"/>
    <s v="Clothing"/>
    <n v="1067.83"/>
    <n v="1189.22"/>
    <s v="Returning"/>
    <n v="0.26"/>
    <s v="Credit Card"/>
    <s v="Retail"/>
    <s v="East-Eve"/>
  </r>
  <r>
    <n v="1004"/>
    <x v="196"/>
    <s v="Alice"/>
    <s v="East"/>
    <n v="6277.59"/>
    <n v="13"/>
    <s v="Furniture"/>
    <n v="3087.73"/>
    <n v="3263.96"/>
    <s v="New"/>
    <n v="0.24"/>
    <s v="Cash"/>
    <s v="Retail"/>
    <s v="East-Alice"/>
  </r>
  <r>
    <n v="1056"/>
    <x v="197"/>
    <s v="Bob"/>
    <s v="North"/>
    <n v="2809.04"/>
    <n v="25"/>
    <s v="Clothing"/>
    <n v="1154.28"/>
    <n v="1408.4"/>
    <s v="Returning"/>
    <n v="0.28999999999999998"/>
    <s v="Bank Transfer"/>
    <s v="Retail"/>
    <s v="North-Bob"/>
  </r>
  <r>
    <n v="1025"/>
    <x v="59"/>
    <s v="David"/>
    <s v="West"/>
    <n v="4929.5600000000004"/>
    <n v="4"/>
    <s v="Furniture"/>
    <n v="2751.06"/>
    <n v="2976.0099999999902"/>
    <s v="Returning"/>
    <n v="0.28000000000000003"/>
    <s v="Credit Card"/>
    <s v="Online"/>
    <s v="West-David"/>
  </r>
  <r>
    <n v="1067"/>
    <x v="330"/>
    <s v="Bob"/>
    <s v="North"/>
    <n v="914.5"/>
    <n v="11"/>
    <s v="Furniture"/>
    <n v="3435.68"/>
    <n v="3552.6299999999901"/>
    <s v="New"/>
    <n v="0.27"/>
    <s v="Cash"/>
    <s v="Retail"/>
    <s v="North-Bob"/>
  </r>
  <r>
    <n v="1096"/>
    <x v="247"/>
    <s v="Alice"/>
    <s v="East"/>
    <n v="4649.88"/>
    <n v="32"/>
    <s v="Furniture"/>
    <n v="991.63"/>
    <n v="1065.55"/>
    <s v="Returning"/>
    <n v="0.22"/>
    <s v="Bank Transfer"/>
    <s v="Retail"/>
    <s v="East-Alice"/>
  </r>
  <r>
    <n v="1067"/>
    <x v="114"/>
    <s v="Bob"/>
    <s v="North"/>
    <n v="3133.99"/>
    <n v="49"/>
    <s v="Furniture"/>
    <n v="2628.38"/>
    <n v="2644.54"/>
    <s v="Returning"/>
    <n v="0.11"/>
    <s v="Cash"/>
    <s v="Online"/>
    <s v="North-Bob"/>
  </r>
  <r>
    <n v="1027"/>
    <x v="153"/>
    <s v="Alice"/>
    <s v="East"/>
    <n v="8241.57"/>
    <n v="7"/>
    <s v="Food"/>
    <n v="2371.85"/>
    <n v="2457.29"/>
    <s v="New"/>
    <n v="0.03"/>
    <s v="Cash"/>
    <s v="Retail"/>
    <s v="East-Alice"/>
  </r>
  <r>
    <n v="1093"/>
    <x v="82"/>
    <s v="Charlie"/>
    <s v="North"/>
    <n v="664.09"/>
    <n v="46"/>
    <s v="Clothing"/>
    <n v="401.64"/>
    <n v="757.26"/>
    <s v="New"/>
    <n v="0.21"/>
    <s v="Credit Card"/>
    <s v="Retail"/>
    <s v="North-Charlie"/>
  </r>
  <r>
    <n v="1032"/>
    <x v="143"/>
    <s v="David"/>
    <s v="South"/>
    <n v="4244.21"/>
    <n v="11"/>
    <s v="Clothing"/>
    <n v="4100.62"/>
    <n v="4230"/>
    <s v="New"/>
    <n v="0.28999999999999998"/>
    <s v="Bank Transfer"/>
    <s v="Online"/>
    <s v="South-David"/>
  </r>
  <r>
    <n v="1050"/>
    <x v="335"/>
    <s v="Alice"/>
    <s v="North"/>
    <n v="4638.47"/>
    <n v="28"/>
    <s v="Food"/>
    <n v="1711.63"/>
    <n v="1951.24"/>
    <s v="New"/>
    <n v="0.22"/>
    <s v="Cash"/>
    <s v="Online"/>
    <s v="North-Alice"/>
  </r>
  <r>
    <n v="1061"/>
    <x v="127"/>
    <s v="Bob"/>
    <s v="South"/>
    <n v="7277.56"/>
    <n v="41"/>
    <s v="Furniture"/>
    <n v="2894.18"/>
    <n v="3193.92"/>
    <s v="New"/>
    <n v="0.28000000000000003"/>
    <s v="Bank Transfer"/>
    <s v="Retail"/>
    <s v="South-Bob"/>
  </r>
  <r>
    <n v="1051"/>
    <x v="231"/>
    <s v="David"/>
    <s v="South"/>
    <n v="5785.45"/>
    <n v="23"/>
    <s v="Furniture"/>
    <n v="2598.1799999999998"/>
    <n v="3042.73"/>
    <s v="Returning"/>
    <n v="0.24"/>
    <s v="Credit Card"/>
    <s v="Online"/>
    <s v="South-David"/>
  </r>
  <r>
    <n v="1019"/>
    <x v="291"/>
    <s v="Charlie"/>
    <s v="West"/>
    <n v="6705.4"/>
    <n v="45"/>
    <s v="Clothing"/>
    <n v="2590.64"/>
    <n v="3036.18"/>
    <s v="New"/>
    <n v="0.05"/>
    <s v="Bank Transfer"/>
    <s v="Retail"/>
    <s v="West-Charlie"/>
  </r>
  <r>
    <n v="1021"/>
    <x v="260"/>
    <s v="David"/>
    <s v="South"/>
    <n v="7792.79"/>
    <n v="23"/>
    <s v="Food"/>
    <n v="580.75"/>
    <n v="956.16"/>
    <s v="Returning"/>
    <n v="7.0000000000000007E-2"/>
    <s v="Cash"/>
    <s v="Retail"/>
    <s v="South-David"/>
  </r>
  <r>
    <n v="1005"/>
    <x v="197"/>
    <s v="Alice"/>
    <s v="South"/>
    <n v="8635.81"/>
    <n v="28"/>
    <s v="Furniture"/>
    <n v="2146.2399999999998"/>
    <n v="2173.4699999999998"/>
    <s v="Returning"/>
    <n v="0.1"/>
    <s v="Cash"/>
    <s v="Retail"/>
    <s v="South-Alice"/>
  </r>
  <r>
    <n v="1082"/>
    <x v="34"/>
    <s v="Charlie"/>
    <s v="North"/>
    <n v="3207.37"/>
    <n v="43"/>
    <s v="Furniture"/>
    <n v="2289.2199999999998"/>
    <n v="2581"/>
    <s v="New"/>
    <n v="0.05"/>
    <s v="Bank Transfer"/>
    <s v="Online"/>
    <s v="North-Charlie"/>
  </r>
  <r>
    <n v="1092"/>
    <x v="241"/>
    <s v="Bob"/>
    <s v="East"/>
    <n v="5426.42"/>
    <n v="47"/>
    <s v="Furniture"/>
    <n v="3681.53"/>
    <n v="4076.96"/>
    <s v="Returning"/>
    <n v="0.17"/>
    <s v="Cash"/>
    <s v="Retail"/>
    <s v="East-Bob"/>
  </r>
  <r>
    <n v="1042"/>
    <x v="322"/>
    <s v="Charlie"/>
    <s v="West"/>
    <n v="8417.07"/>
    <n v="26"/>
    <s v="Electronics"/>
    <n v="4208.09"/>
    <n v="4226.5600000000004"/>
    <s v="Returning"/>
    <n v="0.28999999999999998"/>
    <s v="Cash"/>
    <s v="Retail"/>
    <s v="West-Charlie"/>
  </r>
  <r>
    <n v="1061"/>
    <x v="2"/>
    <s v="Charlie"/>
    <s v="South"/>
    <n v="9895.57"/>
    <n v="25"/>
    <s v="Food"/>
    <n v="2747.66"/>
    <n v="3027.0099999999902"/>
    <s v="New"/>
    <n v="0.23"/>
    <s v="Cash"/>
    <s v="Online"/>
    <s v="South-Charlie"/>
  </r>
  <r>
    <n v="1022"/>
    <x v="90"/>
    <s v="Eve"/>
    <s v="West"/>
    <n v="8906.24"/>
    <n v="29"/>
    <s v="Furniture"/>
    <n v="479.58"/>
    <n v="909.88"/>
    <s v="Returning"/>
    <n v="0.13"/>
    <s v="Credit Card"/>
    <s v="Retail"/>
    <s v="West-Eve"/>
  </r>
  <r>
    <n v="1021"/>
    <x v="68"/>
    <s v="Charlie"/>
    <s v="North"/>
    <n v="3777.53"/>
    <n v="19"/>
    <s v="Electronics"/>
    <n v="1222.4000000000001"/>
    <n v="1464.71"/>
    <s v="New"/>
    <n v="0"/>
    <s v="Credit Card"/>
    <s v="Retail"/>
    <s v="North-Charlie"/>
  </r>
  <r>
    <n v="1070"/>
    <x v="336"/>
    <s v="Charlie"/>
    <s v="South"/>
    <n v="2032.15"/>
    <n v="33"/>
    <s v="Food"/>
    <n v="866.42"/>
    <n v="878.43"/>
    <s v="New"/>
    <n v="0.09"/>
    <s v="Cash"/>
    <s v="Retail"/>
    <s v="South-Charlie"/>
  </r>
  <r>
    <n v="1001"/>
    <x v="24"/>
    <s v="David"/>
    <s v="North"/>
    <n v="4944.99"/>
    <n v="36"/>
    <s v="Furniture"/>
    <n v="666.84"/>
    <n v="682.24"/>
    <s v="New"/>
    <n v="0.16"/>
    <s v="Bank Transfer"/>
    <s v="Retail"/>
    <s v="North-David"/>
  </r>
  <r>
    <n v="1005"/>
    <x v="76"/>
    <s v="Bob"/>
    <s v="West"/>
    <n v="7442.25"/>
    <n v="14"/>
    <s v="Clothing"/>
    <n v="1861.2"/>
    <n v="2075.35"/>
    <s v="Returning"/>
    <n v="0.1"/>
    <s v="Credit Card"/>
    <s v="Retail"/>
    <s v="West-Bob"/>
  </r>
  <r>
    <n v="1012"/>
    <x v="24"/>
    <s v="David"/>
    <s v="North"/>
    <n v="4976.43"/>
    <n v="14"/>
    <s v="Electronics"/>
    <n v="1185.5"/>
    <n v="1271.45"/>
    <s v="Returning"/>
    <n v="0.03"/>
    <s v="Bank Transfer"/>
    <s v="Retail"/>
    <s v="North-David"/>
  </r>
  <r>
    <n v="1090"/>
    <x v="1"/>
    <s v="David"/>
    <s v="West"/>
    <n v="4883.49"/>
    <n v="35"/>
    <s v="Electronics"/>
    <n v="1130.5999999999999"/>
    <n v="1466.1799999999901"/>
    <s v="Returning"/>
    <n v="0.13"/>
    <s v="Cash"/>
    <s v="Online"/>
    <s v="West-David"/>
  </r>
  <r>
    <n v="1046"/>
    <x v="175"/>
    <s v="Alice"/>
    <s v="North"/>
    <n v="8398.48"/>
    <n v="30"/>
    <s v="Furniture"/>
    <n v="320.73"/>
    <n v="678.04"/>
    <s v="Returning"/>
    <n v="0.08"/>
    <s v="Cash"/>
    <s v="Retail"/>
    <s v="North-Alice"/>
  </r>
  <r>
    <n v="1034"/>
    <x v="212"/>
    <s v="David"/>
    <s v="West"/>
    <n v="3677.9"/>
    <n v="28"/>
    <s v="Furniture"/>
    <n v="137.47"/>
    <n v="234.63"/>
    <s v="New"/>
    <n v="0.27"/>
    <s v="Bank Transfer"/>
    <s v="Retail"/>
    <s v="West-David"/>
  </r>
  <r>
    <n v="1049"/>
    <x v="76"/>
    <s v="Eve"/>
    <s v="East"/>
    <n v="8611.9699999999993"/>
    <n v="17"/>
    <s v="Electronics"/>
    <n v="558.70000000000005"/>
    <n v="1004.08"/>
    <s v="Returning"/>
    <n v="0.03"/>
    <s v="Credit Card"/>
    <s v="Online"/>
    <s v="East-Eve"/>
  </r>
  <r>
    <n v="1078"/>
    <x v="328"/>
    <s v="Eve"/>
    <s v="North"/>
    <n v="4127.37"/>
    <n v="3"/>
    <s v="Clothing"/>
    <n v="902.38"/>
    <n v="1128.9100000000001"/>
    <s v="New"/>
    <n v="0.01"/>
    <s v="Bank Transfer"/>
    <s v="Retail"/>
    <s v="North-Eve"/>
  </r>
  <r>
    <n v="1090"/>
    <x v="310"/>
    <s v="Alice"/>
    <s v="North"/>
    <n v="3349.51"/>
    <n v="16"/>
    <s v="Clothing"/>
    <n v="2183.37"/>
    <n v="2263.3599999999901"/>
    <s v="Returning"/>
    <n v="0"/>
    <s v="Bank Transfer"/>
    <s v="Retail"/>
    <s v="North-Alice"/>
  </r>
  <r>
    <n v="1045"/>
    <x v="320"/>
    <s v="Bob"/>
    <s v="East"/>
    <n v="4594.5"/>
    <n v="46"/>
    <s v="Food"/>
    <n v="2577.08"/>
    <n v="2961.56"/>
    <s v="Returning"/>
    <n v="0.1"/>
    <s v="Cash"/>
    <s v="Online"/>
    <s v="East-Bob"/>
  </r>
  <r>
    <n v="1027"/>
    <x v="285"/>
    <s v="Bob"/>
    <s v="East"/>
    <n v="7648.22"/>
    <n v="30"/>
    <s v="Furniture"/>
    <n v="745.93"/>
    <n v="1143.02"/>
    <s v="Returning"/>
    <n v="0.2"/>
    <s v="Credit Card"/>
    <s v="Online"/>
    <s v="East-Bob"/>
  </r>
  <r>
    <n v="1073"/>
    <x v="152"/>
    <s v="David"/>
    <s v="North"/>
    <n v="1347.42"/>
    <n v="29"/>
    <s v="Clothing"/>
    <n v="2152.6799999999998"/>
    <n v="2475.9299999999998"/>
    <s v="Returning"/>
    <n v="0.22"/>
    <s v="Bank Transfer"/>
    <s v="Online"/>
    <s v="North-David"/>
  </r>
  <r>
    <n v="1026"/>
    <x v="158"/>
    <s v="David"/>
    <s v="East"/>
    <n v="2044.55"/>
    <n v="45"/>
    <s v="Food"/>
    <n v="1741.66"/>
    <n v="2169.86"/>
    <s v="Returning"/>
    <n v="0.14000000000000001"/>
    <s v="Credit Card"/>
    <s v="Online"/>
    <s v="East-David"/>
  </r>
  <r>
    <n v="1047"/>
    <x v="217"/>
    <s v="David"/>
    <s v="South"/>
    <n v="9519.2999999999993"/>
    <n v="15"/>
    <s v="Clothing"/>
    <n v="957.95"/>
    <n v="1329.26"/>
    <s v="New"/>
    <n v="0.21"/>
    <s v="Cash"/>
    <s v="Online"/>
    <s v="South-David"/>
  </r>
  <r>
    <n v="1086"/>
    <x v="242"/>
    <s v="Bob"/>
    <s v="West"/>
    <n v="1837.37"/>
    <n v="46"/>
    <s v="Furniture"/>
    <n v="83.86"/>
    <n v="526.14"/>
    <s v="Returning"/>
    <n v="0.11"/>
    <s v="Credit Card"/>
    <s v="Online"/>
    <s v="West-Bob"/>
  </r>
  <r>
    <n v="1056"/>
    <x v="107"/>
    <s v="Charlie"/>
    <s v="West"/>
    <n v="5720.5"/>
    <n v="25"/>
    <s v="Food"/>
    <n v="2361.7399999999998"/>
    <n v="2584.35"/>
    <s v="Returning"/>
    <n v="0.2"/>
    <s v="Cash"/>
    <s v="Online"/>
    <s v="West-Charlie"/>
  </r>
  <r>
    <n v="1094"/>
    <x v="267"/>
    <s v="Eve"/>
    <s v="West"/>
    <n v="5835.21"/>
    <n v="38"/>
    <s v="Food"/>
    <n v="3443.98"/>
    <n v="3820.3"/>
    <s v="Returning"/>
    <n v="0.01"/>
    <s v="Credit Card"/>
    <s v="Retail"/>
    <s v="West-Eve"/>
  </r>
  <r>
    <n v="1063"/>
    <x v="202"/>
    <s v="Charlie"/>
    <s v="South"/>
    <n v="4947.28"/>
    <n v="42"/>
    <s v="Food"/>
    <n v="1170.07"/>
    <n v="1669.94999999999"/>
    <s v="Returning"/>
    <n v="0.12"/>
    <s v="Bank Transfer"/>
    <s v="Retail"/>
    <s v="South-Charlie"/>
  </r>
  <r>
    <n v="1048"/>
    <x v="267"/>
    <s v="Charlie"/>
    <s v="East"/>
    <n v="6482.98"/>
    <n v="47"/>
    <s v="Clothing"/>
    <n v="702.44"/>
    <n v="1067.6600000000001"/>
    <s v="New"/>
    <n v="0.24"/>
    <s v="Cash"/>
    <s v="Retail"/>
    <s v="East-Charlie"/>
  </r>
  <r>
    <n v="1061"/>
    <x v="170"/>
    <s v="Bob"/>
    <s v="East"/>
    <n v="2375.2800000000002"/>
    <n v="38"/>
    <s v="Furniture"/>
    <n v="4440.8599999999997"/>
    <n v="4506.8099999999904"/>
    <s v="Returning"/>
    <n v="0.24"/>
    <s v="Bank Transfer"/>
    <s v="Online"/>
    <s v="East-Bob"/>
  </r>
  <r>
    <n v="1081"/>
    <x v="275"/>
    <s v="Charlie"/>
    <s v="North"/>
    <n v="5571.36"/>
    <n v="23"/>
    <s v="Food"/>
    <n v="1411.37"/>
    <n v="1675.35"/>
    <s v="New"/>
    <n v="0.21"/>
    <s v="Cash"/>
    <s v="Retail"/>
    <s v="North-Charlie"/>
  </r>
  <r>
    <n v="1026"/>
    <x v="30"/>
    <s v="Alice"/>
    <s v="East"/>
    <n v="3784.52"/>
    <n v="25"/>
    <s v="Electronics"/>
    <n v="1156.8800000000001"/>
    <n v="1454.68"/>
    <s v="Returning"/>
    <n v="0.06"/>
    <s v="Credit Card"/>
    <s v="Online"/>
    <s v="East-Alice"/>
  </r>
  <r>
    <n v="1036"/>
    <x v="247"/>
    <s v="David"/>
    <s v="North"/>
    <n v="6650.51"/>
    <n v="42"/>
    <s v="Furniture"/>
    <n v="4292.63"/>
    <n v="4387.99"/>
    <s v="New"/>
    <n v="7.0000000000000007E-2"/>
    <s v="Credit Card"/>
    <s v="Retail"/>
    <s v="North-David"/>
  </r>
  <r>
    <n v="1001"/>
    <x v="216"/>
    <s v="Alice"/>
    <s v="South"/>
    <n v="1498.11"/>
    <n v="7"/>
    <s v="Electronics"/>
    <n v="4094.68"/>
    <n v="4576.5"/>
    <s v="New"/>
    <n v="0.3"/>
    <s v="Cash"/>
    <s v="Retail"/>
    <s v="South-Alice"/>
  </r>
  <r>
    <n v="1008"/>
    <x v="164"/>
    <s v="Eve"/>
    <s v="West"/>
    <n v="5751.69"/>
    <n v="22"/>
    <s v="Electronics"/>
    <n v="2269.3200000000002"/>
    <n v="2365.35"/>
    <s v="New"/>
    <n v="0.03"/>
    <s v="Cash"/>
    <s v="Retail"/>
    <s v="West-Eve"/>
  </r>
  <r>
    <n v="1099"/>
    <x v="337"/>
    <s v="David"/>
    <s v="West"/>
    <n v="1934.18"/>
    <n v="17"/>
    <s v="Food"/>
    <n v="2471.73"/>
    <n v="2568.73"/>
    <s v="New"/>
    <n v="0.05"/>
    <s v="Cash"/>
    <s v="Retail"/>
    <s v="West-David"/>
  </r>
  <r>
    <n v="1052"/>
    <x v="64"/>
    <s v="Charlie"/>
    <s v="West"/>
    <n v="2858.57"/>
    <n v="18"/>
    <s v="Food"/>
    <n v="1127.8599999999999"/>
    <n v="1586.29"/>
    <s v="New"/>
    <n v="0.04"/>
    <s v="Credit Card"/>
    <s v="Online"/>
    <s v="West-Charlie"/>
  </r>
  <r>
    <n v="1079"/>
    <x v="46"/>
    <s v="Eve"/>
    <s v="East"/>
    <n v="2265.23"/>
    <n v="49"/>
    <s v="Clothing"/>
    <n v="437.59"/>
    <n v="675.54"/>
    <s v="Returning"/>
    <n v="0.1"/>
    <s v="Cash"/>
    <s v="Online"/>
    <s v="East-Eve"/>
  </r>
  <r>
    <n v="1047"/>
    <x v="338"/>
    <s v="David"/>
    <s v="North"/>
    <n v="1910.09"/>
    <n v="41"/>
    <s v="Clothing"/>
    <n v="2888.49"/>
    <n v="2929.45"/>
    <s v="New"/>
    <n v="0.06"/>
    <s v="Cash"/>
    <s v="Retail"/>
    <s v="North-David"/>
  </r>
  <r>
    <n v="1056"/>
    <x v="223"/>
    <s v="Charlie"/>
    <s v="North"/>
    <n v="8274.5400000000009"/>
    <n v="10"/>
    <s v="Clothing"/>
    <n v="536.80999999999995"/>
    <n v="839.92"/>
    <s v="Returning"/>
    <n v="0.15"/>
    <s v="Bank Transfer"/>
    <s v="Online"/>
    <s v="North-Charlie"/>
  </r>
  <r>
    <n v="1086"/>
    <x v="117"/>
    <s v="Alice"/>
    <s v="South"/>
    <n v="2928.5"/>
    <n v="10"/>
    <s v="Furniture"/>
    <n v="2273.91"/>
    <n v="2578.7999999999902"/>
    <s v="New"/>
    <n v="0.14000000000000001"/>
    <s v="Cash"/>
    <s v="Online"/>
    <s v="South-Alice"/>
  </r>
  <r>
    <n v="1014"/>
    <x v="276"/>
    <s v="David"/>
    <s v="East"/>
    <n v="9278.5300000000007"/>
    <n v="7"/>
    <s v="Clothing"/>
    <n v="4705.46"/>
    <n v="4747.07"/>
    <s v="New"/>
    <n v="0.27"/>
    <s v="Bank Transfer"/>
    <s v="Retail"/>
    <s v="East-David"/>
  </r>
  <r>
    <n v="1090"/>
    <x v="108"/>
    <s v="Charlie"/>
    <s v="South"/>
    <n v="9702.27"/>
    <n v="48"/>
    <s v="Electronics"/>
    <n v="4766.53"/>
    <n v="5253.07"/>
    <s v="Returning"/>
    <n v="0.01"/>
    <s v="Bank Transfer"/>
    <s v="Online"/>
    <s v="South-Charlie"/>
  </r>
  <r>
    <n v="1028"/>
    <x v="252"/>
    <s v="Alice"/>
    <s v="North"/>
    <n v="5755.48"/>
    <n v="38"/>
    <s v="Clothing"/>
    <n v="1234.69"/>
    <n v="1511.26"/>
    <s v="New"/>
    <n v="0.1"/>
    <s v="Bank Transfer"/>
    <s v="Online"/>
    <s v="North-Alice"/>
  </r>
  <r>
    <n v="1087"/>
    <x v="47"/>
    <s v="Eve"/>
    <s v="North"/>
    <n v="1515.71"/>
    <n v="27"/>
    <s v="Food"/>
    <n v="3139.36"/>
    <n v="3423.66"/>
    <s v="New"/>
    <n v="0.18"/>
    <s v="Credit Card"/>
    <s v="Online"/>
    <s v="North-Eve"/>
  </r>
  <r>
    <n v="1078"/>
    <x v="218"/>
    <s v="Eve"/>
    <s v="West"/>
    <n v="3808.03"/>
    <n v="33"/>
    <s v="Clothing"/>
    <n v="2396.6799999999998"/>
    <n v="2661.54"/>
    <s v="New"/>
    <n v="0.18"/>
    <s v="Bank Transfer"/>
    <s v="Online"/>
    <s v="West-Eve"/>
  </r>
  <r>
    <n v="1088"/>
    <x v="187"/>
    <s v="Eve"/>
    <s v="East"/>
    <n v="7997.55"/>
    <n v="1"/>
    <s v="Furniture"/>
    <n v="4384.6400000000003"/>
    <n v="4693.8999999999996"/>
    <s v="New"/>
    <n v="0.14000000000000001"/>
    <s v="Cash"/>
    <s v="Retail"/>
    <s v="East-Eve"/>
  </r>
  <r>
    <n v="1002"/>
    <x v="16"/>
    <s v="Eve"/>
    <s v="North"/>
    <n v="3737.17"/>
    <n v="44"/>
    <s v="Furniture"/>
    <n v="1393.58"/>
    <n v="1533.09"/>
    <s v="Returning"/>
    <n v="0.24"/>
    <s v="Credit Card"/>
    <s v="Retail"/>
    <s v="North-Eve"/>
  </r>
  <r>
    <n v="1026"/>
    <x v="299"/>
    <s v="Bob"/>
    <s v="West"/>
    <n v="961.47"/>
    <n v="34"/>
    <s v="Electronics"/>
    <n v="68.33"/>
    <n v="219.07999999999899"/>
    <s v="New"/>
    <n v="0.02"/>
    <s v="Credit Card"/>
    <s v="Online"/>
    <s v="West-Bob"/>
  </r>
  <r>
    <n v="1014"/>
    <x v="317"/>
    <s v="David"/>
    <s v="East"/>
    <n v="5612.17"/>
    <n v="4"/>
    <s v="Furniture"/>
    <n v="854.68"/>
    <n v="1115.24"/>
    <s v="New"/>
    <n v="0.24"/>
    <s v="Credit Card"/>
    <s v="Retail"/>
    <s v="East-David"/>
  </r>
  <r>
    <n v="1059"/>
    <x v="258"/>
    <s v="David"/>
    <s v="South"/>
    <n v="8466.7000000000007"/>
    <n v="17"/>
    <s v="Clothing"/>
    <n v="1780.14"/>
    <n v="2185.42"/>
    <s v="Returning"/>
    <n v="0.15"/>
    <s v="Credit Card"/>
    <s v="Retail"/>
    <s v="South-David"/>
  </r>
  <r>
    <n v="1056"/>
    <x v="92"/>
    <s v="Bob"/>
    <s v="East"/>
    <n v="7979.67"/>
    <n v="4"/>
    <s v="Food"/>
    <n v="1612.82"/>
    <n v="1647.25"/>
    <s v="Returning"/>
    <n v="0.04"/>
    <s v="Credit Card"/>
    <s v="Retail"/>
    <s v="East-Bob"/>
  </r>
  <r>
    <n v="1007"/>
    <x v="229"/>
    <s v="Charlie"/>
    <s v="East"/>
    <n v="1833.72"/>
    <n v="43"/>
    <s v="Furniture"/>
    <n v="3967.25"/>
    <n v="4272.92"/>
    <s v="New"/>
    <n v="0.27"/>
    <s v="Credit Card"/>
    <s v="Online"/>
    <s v="East-Charlie"/>
  </r>
  <r>
    <n v="1003"/>
    <x v="198"/>
    <s v="Charlie"/>
    <s v="North"/>
    <n v="6760.37"/>
    <n v="26"/>
    <s v="Electronics"/>
    <n v="3418.78"/>
    <n v="3824.1"/>
    <s v="New"/>
    <n v="0.19"/>
    <s v="Credit Card"/>
    <s v="Online"/>
    <s v="North-Charlie"/>
  </r>
  <r>
    <n v="1023"/>
    <x v="166"/>
    <s v="Eve"/>
    <s v="North"/>
    <n v="2282.9899999999998"/>
    <n v="4"/>
    <s v="Clothing"/>
    <n v="1532.8"/>
    <n v="1619.69"/>
    <s v="Returning"/>
    <n v="0.05"/>
    <s v="Bank Transfer"/>
    <s v="Retail"/>
    <s v="North-Eve"/>
  </r>
  <r>
    <n v="1018"/>
    <x v="30"/>
    <s v="Alice"/>
    <s v="East"/>
    <n v="2260.25"/>
    <n v="1"/>
    <s v="Electronics"/>
    <n v="2315.83"/>
    <n v="2333.19"/>
    <s v="New"/>
    <n v="0.01"/>
    <s v="Cash"/>
    <s v="Retail"/>
    <s v="East-Alice"/>
  </r>
  <r>
    <n v="1038"/>
    <x v="86"/>
    <s v="Charlie"/>
    <s v="North"/>
    <n v="8753.31"/>
    <n v="7"/>
    <s v="Furniture"/>
    <n v="523.02"/>
    <n v="686.25"/>
    <s v="Returning"/>
    <n v="0.04"/>
    <s v="Cash"/>
    <s v="Online"/>
    <s v="North-Charlie"/>
  </r>
  <r>
    <n v="1099"/>
    <x v="329"/>
    <s v="Alice"/>
    <s v="North"/>
    <n v="2571.7199999999998"/>
    <n v="30"/>
    <s v="Furniture"/>
    <n v="4495.82"/>
    <n v="4794.0099999999902"/>
    <s v="New"/>
    <n v="0.18"/>
    <s v="Bank Transfer"/>
    <s v="Retail"/>
    <s v="North-Alice"/>
  </r>
  <r>
    <n v="1015"/>
    <x v="339"/>
    <s v="David"/>
    <s v="North"/>
    <n v="2706.15"/>
    <n v="9"/>
    <s v="Electronics"/>
    <n v="4680.3500000000004"/>
    <n v="4758.1099999999997"/>
    <s v="Returning"/>
    <n v="0.05"/>
    <s v="Bank Transfer"/>
    <s v="Online"/>
    <s v="North-David"/>
  </r>
  <r>
    <n v="1064"/>
    <x v="111"/>
    <s v="Alice"/>
    <s v="West"/>
    <n v="106.47"/>
    <n v="35"/>
    <s v="Clothing"/>
    <n v="4900.03"/>
    <n v="5118.83"/>
    <s v="Returning"/>
    <n v="7.0000000000000007E-2"/>
    <s v="Credit Card"/>
    <s v="Retail"/>
    <s v="West-Alice"/>
  </r>
  <r>
    <n v="1089"/>
    <x v="136"/>
    <s v="David"/>
    <s v="West"/>
    <n v="8719.6200000000008"/>
    <n v="8"/>
    <s v="Furniture"/>
    <n v="4349.34"/>
    <n v="4629.9799999999996"/>
    <s v="Returning"/>
    <n v="0.01"/>
    <s v="Credit Card"/>
    <s v="Online"/>
    <s v="West-David"/>
  </r>
  <r>
    <n v="1028"/>
    <x v="82"/>
    <s v="Bob"/>
    <s v="East"/>
    <n v="7946.69"/>
    <n v="24"/>
    <s v="Food"/>
    <n v="911.11"/>
    <n v="1214.56"/>
    <s v="New"/>
    <n v="0.22"/>
    <s v="Bank Transfer"/>
    <s v="Online"/>
    <s v="East-Bob"/>
  </r>
  <r>
    <n v="1074"/>
    <x v="22"/>
    <s v="Bob"/>
    <s v="North"/>
    <n v="6310.56"/>
    <n v="19"/>
    <s v="Furniture"/>
    <n v="278.67"/>
    <n v="423.13"/>
    <s v="New"/>
    <n v="0.24"/>
    <s v="Credit Card"/>
    <s v="Online"/>
    <s v="North-Bob"/>
  </r>
  <r>
    <n v="1039"/>
    <x v="97"/>
    <s v="Eve"/>
    <s v="West"/>
    <n v="7527.63"/>
    <n v="36"/>
    <s v="Clothing"/>
    <n v="2919"/>
    <n v="3125.01"/>
    <s v="New"/>
    <n v="0.24"/>
    <s v="Cash"/>
    <s v="Online"/>
    <s v="West-Eve"/>
  </r>
  <r>
    <n v="1057"/>
    <x v="130"/>
    <s v="Charlie"/>
    <s v="East"/>
    <n v="1605.28"/>
    <n v="43"/>
    <s v="Furniture"/>
    <n v="4567.3900000000003"/>
    <n v="4958.78"/>
    <s v="New"/>
    <n v="0.04"/>
    <s v="Cash"/>
    <s v="Retail"/>
    <s v="East-Charlie"/>
  </r>
  <r>
    <n v="1017"/>
    <x v="332"/>
    <s v="Eve"/>
    <s v="North"/>
    <n v="4637.3999999999996"/>
    <n v="27"/>
    <s v="Electronics"/>
    <n v="927.89"/>
    <n v="1399.09"/>
    <s v="Returning"/>
    <n v="0.27"/>
    <s v="Credit Card"/>
    <s v="Online"/>
    <s v="North-Eve"/>
  </r>
  <r>
    <n v="1086"/>
    <x v="62"/>
    <s v="David"/>
    <s v="South"/>
    <n v="3577.07"/>
    <n v="32"/>
    <s v="Furniture"/>
    <n v="84.86"/>
    <n v="517.17999999999995"/>
    <s v="Returning"/>
    <n v="0.2"/>
    <s v="Credit Card"/>
    <s v="Retail"/>
    <s v="South-David"/>
  </r>
  <r>
    <n v="1090"/>
    <x v="21"/>
    <s v="Eve"/>
    <s v="North"/>
    <n v="1028.3900000000001"/>
    <n v="14"/>
    <s v="Furniture"/>
    <n v="4037.21"/>
    <n v="4323.71"/>
    <s v="Returning"/>
    <n v="0.27"/>
    <s v="Credit Card"/>
    <s v="Online"/>
    <s v="North-Eve"/>
  </r>
  <r>
    <n v="1044"/>
    <x v="36"/>
    <s v="Alice"/>
    <s v="North"/>
    <n v="4912.6899999999996"/>
    <n v="18"/>
    <s v="Clothing"/>
    <n v="430.14"/>
    <n v="641.17999999999995"/>
    <s v="New"/>
    <n v="0.13"/>
    <s v="Cash"/>
    <s v="Online"/>
    <s v="North-Alice"/>
  </r>
  <r>
    <n v="1025"/>
    <x v="174"/>
    <s v="David"/>
    <s v="West"/>
    <n v="9215.32"/>
    <n v="28"/>
    <s v="Electronics"/>
    <n v="2097.84"/>
    <n v="2270.9899999999998"/>
    <s v="New"/>
    <n v="0.13"/>
    <s v="Credit Card"/>
    <s v="Retail"/>
    <s v="West-David"/>
  </r>
  <r>
    <n v="1017"/>
    <x v="54"/>
    <s v="Bob"/>
    <s v="East"/>
    <n v="496.59"/>
    <n v="29"/>
    <s v="Clothing"/>
    <n v="3410.49"/>
    <n v="3481.72"/>
    <s v="New"/>
    <n v="0.24"/>
    <s v="Bank Transfer"/>
    <s v="Retail"/>
    <s v="East-Bob"/>
  </r>
  <r>
    <n v="1013"/>
    <x v="26"/>
    <s v="Charlie"/>
    <s v="East"/>
    <n v="2985.46"/>
    <n v="16"/>
    <s v="Furniture"/>
    <n v="1222.1500000000001"/>
    <n v="1284.3599999999999"/>
    <s v="Returning"/>
    <n v="0.03"/>
    <s v="Credit Card"/>
    <s v="Retail"/>
    <s v="East-Charlie"/>
  </r>
  <r>
    <n v="1084"/>
    <x v="331"/>
    <s v="David"/>
    <s v="West"/>
    <n v="2154.66"/>
    <n v="35"/>
    <s v="Food"/>
    <n v="465.61"/>
    <n v="812.91"/>
    <s v="New"/>
    <n v="0.16"/>
    <s v="Bank Transfer"/>
    <s v="Online"/>
    <s v="West-David"/>
  </r>
  <r>
    <n v="1025"/>
    <x v="177"/>
    <s v="David"/>
    <s v="North"/>
    <n v="2457.65"/>
    <n v="47"/>
    <s v="Furniture"/>
    <n v="3861.61"/>
    <n v="3998.91"/>
    <s v="New"/>
    <n v="0.25"/>
    <s v="Credit Card"/>
    <s v="Online"/>
    <s v="North-David"/>
  </r>
  <r>
    <n v="1068"/>
    <x v="209"/>
    <s v="Alice"/>
    <s v="South"/>
    <n v="9093.5"/>
    <n v="31"/>
    <s v="Clothing"/>
    <n v="3169.37"/>
    <n v="3304.15"/>
    <s v="Returning"/>
    <n v="0.25"/>
    <s v="Credit Card"/>
    <s v="Retail"/>
    <s v="South-Alice"/>
  </r>
  <r>
    <n v="1010"/>
    <x v="297"/>
    <s v="Charlie"/>
    <s v="North"/>
    <n v="4733.88"/>
    <n v="4"/>
    <s v="Food"/>
    <n v="4943.03"/>
    <n v="5442.15"/>
    <s v="Returning"/>
    <n v="0.28999999999999998"/>
    <s v="Cash"/>
    <s v="Online"/>
    <s v="North-Charlie"/>
  </r>
  <r>
    <n v="1067"/>
    <x v="259"/>
    <s v="Bob"/>
    <s v="North"/>
    <n v="4716.3599999999997"/>
    <n v="37"/>
    <s v="Clothing"/>
    <n v="1754.32"/>
    <n v="1856.3999999999901"/>
    <s v="New"/>
    <n v="0.21"/>
    <s v="Bank Transfer"/>
    <s v="Retail"/>
    <s v="North-Bob"/>
  </r>
  <r>
    <n v="1018"/>
    <x v="167"/>
    <s v="David"/>
    <s v="South"/>
    <n v="7629.7"/>
    <n v="17"/>
    <s v="Clothing"/>
    <n v="355.72"/>
    <n v="438.27"/>
    <s v="Returning"/>
    <n v="0.06"/>
    <s v="Bank Transfer"/>
    <s v="Online"/>
    <s v="South-David"/>
  </r>
  <r>
    <n v="1100"/>
    <x v="266"/>
    <s v="David"/>
    <s v="West"/>
    <n v="1629.47"/>
    <n v="39"/>
    <s v="Electronics"/>
    <n v="3685.03"/>
    <n v="3743.39"/>
    <s v="New"/>
    <n v="0.01"/>
    <s v="Bank Transfer"/>
    <s v="Online"/>
    <s v="West-David"/>
  </r>
  <r>
    <n v="1086"/>
    <x v="132"/>
    <s v="Alice"/>
    <s v="East"/>
    <n v="4923.93"/>
    <n v="48"/>
    <s v="Food"/>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00805-E855-4285-A69A-AC6FE174B8C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7" firstHeaderRow="1" firstDataRow="1" firstDataCol="1"/>
  <pivotFields count="17">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Items count="1">
    <i/>
  </colItems>
  <dataFields count="1">
    <dataField name="Sum of Unit_Cost" fld="7"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1"/>
          </reference>
        </references>
      </pivotArea>
    </chartFormat>
    <chartFormat chart="2" format="6">
      <pivotArea type="data" outline="0" fieldPosition="0">
        <references count="2">
          <reference field="4294967294" count="1" selected="0">
            <x v="0"/>
          </reference>
          <reference field="16" count="1" selected="0">
            <x v="2"/>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41694-637A-434F-AADF-8C2711312C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4">
    <pivotField showAll="0"/>
    <pivotField numFmtId="14" showAll="0"/>
    <pivotField showAll="0"/>
    <pivotField showAll="0">
      <items count="5">
        <item x="3"/>
        <item x="0"/>
        <item x="2"/>
        <item x="1"/>
        <item t="default"/>
      </items>
    </pivotField>
    <pivotField showAll="0"/>
    <pivotField showAll="0"/>
    <pivotField showAll="0"/>
    <pivotField showAll="0"/>
    <pivotField dataField="1" showAll="0"/>
    <pivotField showAll="0"/>
    <pivotField showAll="0"/>
    <pivotField showAll="0">
      <items count="4">
        <item x="1"/>
        <item x="0"/>
        <item x="2"/>
        <item t="default"/>
      </items>
    </pivotField>
    <pivotField axis="axisRow" showAll="0">
      <items count="3">
        <item x="0"/>
        <item x="1"/>
        <item t="default"/>
      </items>
    </pivotField>
    <pivotField showAll="0"/>
  </pivotFields>
  <rowFields count="1">
    <field x="12"/>
  </rowFields>
  <rowItems count="3">
    <i>
      <x/>
    </i>
    <i>
      <x v="1"/>
    </i>
    <i t="grand">
      <x/>
    </i>
  </rowItems>
  <colItems count="1">
    <i/>
  </colItems>
  <dataFields count="1">
    <dataField name="Sum of Unit_Pric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1C134-0769-4C6C-A902-B98AF499DA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5:F46" firstHeaderRow="1" firstDataRow="1" firstDataCol="0"/>
  <pivotFields count="14">
    <pivotField showAll="0"/>
    <pivotField numFmtId="14" showAll="0"/>
    <pivotField showAll="0"/>
    <pivotField showAll="0">
      <items count="5">
        <item x="3"/>
        <item x="0"/>
        <item x="2"/>
        <item x="1"/>
        <item t="default"/>
      </items>
    </pivotField>
    <pivotField showAll="0"/>
    <pivotField showAll="0"/>
    <pivotField showAll="0"/>
    <pivotField showAll="0"/>
    <pivotField showAll="0"/>
    <pivotField dataField="1" showAll="0"/>
    <pivotField showAll="0"/>
    <pivotField showAll="0">
      <items count="4">
        <item x="1"/>
        <item x="0"/>
        <item x="2"/>
        <item t="default"/>
      </items>
    </pivotField>
    <pivotField showAll="0">
      <items count="3">
        <item x="0"/>
        <item x="1"/>
        <item t="default"/>
      </items>
    </pivotField>
    <pivotField showAll="0"/>
  </pivotFields>
  <rowItems count="1">
    <i/>
  </rowItems>
  <colItems count="1">
    <i/>
  </colItems>
  <dataFields count="1">
    <dataField name="Count of Customer_Typ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809209-B01B-420D-9621-C434004EB4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3:C44" firstHeaderRow="1" firstDataRow="1" firstDataCol="0"/>
  <pivotFields count="14">
    <pivotField showAll="0"/>
    <pivotField numFmtId="14" showAll="0"/>
    <pivotField showAll="0"/>
    <pivotField showAll="0">
      <items count="5">
        <item x="3"/>
        <item x="0"/>
        <item x="2"/>
        <item x="1"/>
        <item t="default"/>
      </items>
    </pivotField>
    <pivotField showAll="0"/>
    <pivotField dataField="1" showAll="0"/>
    <pivotField showAll="0"/>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Items count="1">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2D749-E6C1-4FF4-AE8F-B3043730D0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7" firstHeaderRow="1" firstDataRow="1" firstDataCol="1"/>
  <pivotFields count="14">
    <pivotField showAll="0"/>
    <pivotField numFmtId="14" showAll="0"/>
    <pivotField showAll="0"/>
    <pivotField showAll="0">
      <items count="5">
        <item x="3"/>
        <item x="0"/>
        <item x="2"/>
        <item x="1"/>
        <item t="default"/>
      </items>
    </pivotField>
    <pivotField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dataField="1" showAll="0"/>
    <pivotField showAll="0"/>
    <pivotField showAll="0"/>
    <pivotField axis="axisRow" showAll="0">
      <items count="4">
        <item x="1"/>
        <item x="0"/>
        <item x="2"/>
        <item t="default"/>
      </items>
    </pivotField>
    <pivotField showAll="0">
      <items count="3">
        <item x="0"/>
        <item x="1"/>
        <item t="default"/>
      </items>
    </pivotField>
    <pivotField showAll="0"/>
  </pivotFields>
  <rowFields count="1">
    <field x="11"/>
  </rowFields>
  <rowItems count="4">
    <i>
      <x/>
    </i>
    <i>
      <x v="1"/>
    </i>
    <i>
      <x v="2"/>
    </i>
    <i t="grand">
      <x/>
    </i>
  </rowItems>
  <colItems count="1">
    <i/>
  </colItems>
  <dataFields count="1">
    <dataField name="Sum of Unit_Pric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6E59D-6414-483F-8E93-C6CD2CB42D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7" firstHeaderRow="1" firstDataRow="1" firstDataCol="1"/>
  <pivotFields count="14">
    <pivotField showAll="0"/>
    <pivotField numFmtId="14" showAll="0"/>
    <pivotField showAll="0"/>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3"/>
  </rowFields>
  <rowItems count="5">
    <i>
      <x/>
    </i>
    <i>
      <x v="1"/>
    </i>
    <i>
      <x v="2"/>
    </i>
    <i>
      <x v="3"/>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7DFE93C-44E0-4937-B788-D8DCE65B21D1}" sourceName="Sales_Channel">
  <pivotTables>
    <pivotTable tabId="2" name="PivotTable2"/>
    <pivotTable tabId="2" name="PivotTable4"/>
    <pivotTable tabId="2" name="PivotTable5"/>
    <pivotTable tabId="2" name="PivotTable6"/>
    <pivotTable tabId="2" name="PivotTable7"/>
  </pivotTables>
  <data>
    <tabular pivotCacheId="17128789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82422A0B-DCD5-4BDD-BABE-ABE86EF770CE}" sourceName="Sale_Date">
  <pivotTables>
    <pivotTable tabId="2" name="PivotTable3"/>
  </pivotTables>
  <data>
    <tabular pivotCacheId="221635136">
      <items count="340">
        <i x="58" s="1"/>
        <i x="219" s="1"/>
        <i x="285" s="1"/>
        <i x="21" s="1"/>
        <i x="99" s="1"/>
        <i x="7" s="1"/>
        <i x="212" s="1"/>
        <i x="203" s="1"/>
        <i x="231" s="1"/>
        <i x="69" s="1"/>
        <i x="142" s="1"/>
        <i x="267" s="1"/>
        <i x="73" s="1"/>
        <i x="107" s="1"/>
        <i x="120" s="1"/>
        <i x="271" s="1"/>
        <i x="172" s="1"/>
        <i x="192" s="1"/>
        <i x="191" s="1"/>
        <i x="54" s="1"/>
        <i x="327" s="1"/>
        <i x="320" s="1"/>
        <i x="112" s="1"/>
        <i x="332" s="1"/>
        <i x="170" s="1"/>
        <i x="45" s="1"/>
        <i x="243" s="1"/>
        <i x="157" s="1"/>
        <i x="31" s="1"/>
        <i x="188" s="1"/>
        <i x="323" s="1"/>
        <i x="0" s="1"/>
        <i x="86" s="1"/>
        <i x="33" s="1"/>
        <i x="299" s="1"/>
        <i x="61" s="1"/>
        <i x="118" s="1"/>
        <i x="32" s="1"/>
        <i x="241" s="1"/>
        <i x="5" s="1"/>
        <i x="268" s="1"/>
        <i x="306" s="1"/>
        <i x="248" s="1"/>
        <i x="57" s="1"/>
        <i x="180" s="1"/>
        <i x="331" s="1"/>
        <i x="156" s="1"/>
        <i x="286" s="1"/>
        <i x="225" s="1"/>
        <i x="206" s="1"/>
        <i x="164" s="1"/>
        <i x="302" s="1"/>
        <i x="269" s="1"/>
        <i x="325" s="1"/>
        <i x="229" s="1"/>
        <i x="88" s="1"/>
        <i x="263" s="1"/>
        <i x="42" s="1"/>
        <i x="113" s="1"/>
        <i x="249" s="1"/>
        <i x="284" s="1"/>
        <i x="119" s="1"/>
        <i x="295" s="1"/>
        <i x="83" s="1"/>
        <i x="19" s="1"/>
        <i x="288" s="1"/>
        <i x="260" s="1"/>
        <i x="316" s="1"/>
        <i x="37" s="1"/>
        <i x="85" s="1"/>
        <i x="313" s="1"/>
        <i x="101" s="1"/>
        <i x="324" s="1"/>
        <i x="270" s="1"/>
        <i x="228" s="1"/>
        <i x="218" s="1"/>
        <i x="4" s="1"/>
        <i x="76" s="1"/>
        <i x="215" s="1"/>
        <i x="126" s="1"/>
        <i x="202" s="1"/>
        <i x="210" s="1"/>
        <i x="103" s="1"/>
        <i x="59" s="1"/>
        <i x="154" s="1"/>
        <i x="329" s="1"/>
        <i x="41" s="1"/>
        <i x="25" s="1"/>
        <i x="209" s="1"/>
        <i x="123" s="1"/>
        <i x="238" s="1"/>
        <i x="292" s="1"/>
        <i x="6" s="1"/>
        <i x="265" s="1"/>
        <i x="274" s="1"/>
        <i x="106" s="1"/>
        <i x="297" s="1"/>
        <i x="153" s="1"/>
        <i x="289" s="1"/>
        <i x="264" s="1"/>
        <i x="237" s="1"/>
        <i x="161" s="1"/>
        <i x="1" s="1"/>
        <i x="20" s="1"/>
        <i x="55" s="1"/>
        <i x="194" s="1"/>
        <i x="137" s="1"/>
        <i x="334" s="1"/>
        <i x="167" s="1"/>
        <i x="40" s="1"/>
        <i x="223" s="1"/>
        <i x="211" s="1"/>
        <i x="247" s="1"/>
        <i x="127" s="1"/>
        <i x="298" s="1"/>
        <i x="110" s="1"/>
        <i x="152" s="1"/>
        <i x="173" s="1"/>
        <i x="261" s="1"/>
        <i x="75" s="1"/>
        <i x="198" s="1"/>
        <i x="102" s="1"/>
        <i x="48" s="1"/>
        <i x="39" s="1"/>
        <i x="135" s="1"/>
        <i x="28" s="1"/>
        <i x="71" s="1"/>
        <i x="63" s="1"/>
        <i x="56" s="1"/>
        <i x="149" s="1"/>
        <i x="60" s="1"/>
        <i x="114" s="1"/>
        <i x="190" s="1"/>
        <i x="116" s="1"/>
        <i x="239" s="1"/>
        <i x="216" s="1"/>
        <i x="141" s="1"/>
        <i x="165" s="1"/>
        <i x="16" s="1"/>
        <i x="214" s="1"/>
        <i x="26" s="1"/>
        <i x="115" s="1"/>
        <i x="168" s="1"/>
        <i x="309" s="1"/>
        <i x="179" s="1"/>
        <i x="121" s="1"/>
        <i x="189" s="1"/>
        <i x="130" s="1"/>
        <i x="294" s="1"/>
        <i x="67" s="1"/>
        <i x="201" s="1"/>
        <i x="315" s="1"/>
        <i x="254" s="1"/>
        <i x="98" s="1"/>
        <i x="196" s="1"/>
        <i x="74" s="1"/>
        <i x="305" s="1"/>
        <i x="277" s="1"/>
        <i x="151" s="1"/>
        <i x="72" s="1"/>
        <i x="46" s="1"/>
        <i x="330" s="1"/>
        <i x="193" s="1"/>
        <i x="273" s="1"/>
        <i x="177" s="1"/>
        <i x="68" s="1"/>
        <i x="109" s="1"/>
        <i x="8" s="1"/>
        <i x="253" s="1"/>
        <i x="162" s="1"/>
        <i x="276" s="1"/>
        <i x="134" s="1"/>
        <i x="281" s="1"/>
        <i x="301" s="1"/>
        <i x="255" s="1"/>
        <i x="217" s="1"/>
        <i x="183" s="1"/>
        <i x="246" s="1"/>
        <i x="308" s="1"/>
        <i x="319" s="1"/>
        <i x="251" s="1"/>
        <i x="43" s="1"/>
        <i x="222" s="1"/>
        <i x="125" s="1"/>
        <i x="220" s="1"/>
        <i x="18" s="1"/>
        <i x="272" s="1"/>
        <i x="144" s="1"/>
        <i x="233" s="1"/>
        <i x="166" s="1"/>
        <i x="44" s="1"/>
        <i x="322" s="1"/>
        <i x="333" s="1"/>
        <i x="312" s="1"/>
        <i x="339" s="1"/>
        <i x="328" s="1"/>
        <i x="230" s="1"/>
        <i x="150" s="1"/>
        <i x="187" s="1"/>
        <i x="52" s="1"/>
        <i x="97" s="1"/>
        <i x="159" s="1"/>
        <i x="186" s="1"/>
        <i x="133" s="1"/>
        <i x="262" s="1"/>
        <i x="148" s="1"/>
        <i x="244" s="1"/>
        <i x="36" s="1"/>
        <i x="338" s="1"/>
        <i x="195" s="1"/>
        <i x="34" s="1"/>
        <i x="185" s="1"/>
        <i x="53" s="1"/>
        <i x="11" s="1"/>
        <i x="257" s="1"/>
        <i x="132" s="1"/>
        <i x="14" s="1"/>
        <i x="122" s="1"/>
        <i x="256" s="1"/>
        <i x="314" s="1"/>
        <i x="221" s="1"/>
        <i x="236" s="1"/>
        <i x="3" s="1"/>
        <i x="104" s="1"/>
        <i x="337" s="1"/>
        <i x="208" s="1"/>
        <i x="290" s="1"/>
        <i x="318" s="1"/>
        <i x="30" s="1"/>
        <i x="169" s="1"/>
        <i x="280" s="1"/>
        <i x="234" s="1"/>
        <i x="29" s="1"/>
        <i x="207" s="1"/>
        <i x="259" s="1"/>
        <i x="175" s="1"/>
        <i x="124" s="1"/>
        <i x="205" s="1"/>
        <i x="224" s="1"/>
        <i x="160" s="1"/>
        <i x="311" s="1"/>
        <i x="66" s="1"/>
        <i x="287" s="1"/>
        <i x="70" s="1"/>
        <i x="291" s="1"/>
        <i x="213" s="1"/>
        <i x="2" s="1"/>
        <i x="81" s="1"/>
        <i x="199" s="1"/>
        <i x="91" s="1"/>
        <i x="245" s="1"/>
        <i x="278" s="1"/>
        <i x="93" s="1"/>
        <i x="326" s="1"/>
        <i x="282" s="1"/>
        <i x="80" s="1"/>
        <i x="279" s="1"/>
        <i x="51" s="1"/>
        <i x="17" s="1"/>
        <i x="235" s="1"/>
        <i x="227" s="1"/>
        <i x="232" s="1"/>
        <i x="9" s="1"/>
        <i x="140" s="1"/>
        <i x="300" s="1"/>
        <i x="178" s="1"/>
        <i x="95" s="1"/>
        <i x="155" s="1"/>
        <i x="108" s="1"/>
        <i x="15" s="1"/>
        <i x="96" s="1"/>
        <i x="138" s="1"/>
        <i x="62" s="1"/>
        <i x="129" s="1"/>
        <i x="105" s="1"/>
        <i x="87" s="1"/>
        <i x="158" s="1"/>
        <i x="139" s="1"/>
        <i x="47" s="1"/>
        <i x="275" s="1"/>
        <i x="146" s="1"/>
        <i x="131" s="1"/>
        <i x="304" s="1"/>
        <i x="82" s="1"/>
        <i x="321" s="1"/>
        <i x="252" s="1"/>
        <i x="117" s="1"/>
        <i x="250" s="1"/>
        <i x="27" s="1"/>
        <i x="258" s="1"/>
        <i x="163" s="1"/>
        <i x="310" s="1"/>
        <i x="12" s="1"/>
        <i x="94" s="1"/>
        <i x="335" s="1"/>
        <i x="24" s="1"/>
        <i x="78" s="1"/>
        <i x="10" s="1"/>
        <i x="77" s="1"/>
        <i x="35" s="1"/>
        <i x="204" s="1"/>
        <i x="50" s="1"/>
        <i x="49" s="1"/>
        <i x="184" s="1"/>
        <i x="90" s="1"/>
        <i x="79" s="1"/>
        <i x="128" s="1"/>
        <i x="23" s="1"/>
        <i x="136" s="1"/>
        <i x="65" s="1"/>
        <i x="84" s="1"/>
        <i x="38" s="1"/>
        <i x="303" s="1"/>
        <i x="181" s="1"/>
        <i x="293" s="1"/>
        <i x="100" s="1"/>
        <i x="283" s="1"/>
        <i x="240" s="1"/>
        <i x="182" s="1"/>
        <i x="176" s="1"/>
        <i x="307" s="1"/>
        <i x="145" s="1"/>
        <i x="171" s="1"/>
        <i x="336" s="1"/>
        <i x="89" s="1"/>
        <i x="22" s="1"/>
        <i x="317" s="1"/>
        <i x="111" s="1"/>
        <i x="266" s="1"/>
        <i x="226" s="1"/>
        <i x="64" s="1"/>
        <i x="296" s="1"/>
        <i x="197" s="1"/>
        <i x="143" s="1"/>
        <i x="92" s="1"/>
        <i x="242" s="1"/>
        <i x="147" s="1"/>
        <i x="174" s="1"/>
        <i x="13" s="1"/>
        <i x="20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9CBC54-4E76-4591-BD60-244292DC12A2}" sourceName="Region">
  <pivotTables>
    <pivotTable tabId="2" name="PivotTable4"/>
    <pivotTable tabId="2" name="PivotTable2"/>
    <pivotTable tabId="2" name="PivotTable5"/>
    <pivotTable tabId="2" name="PivotTable6"/>
    <pivotTable tabId="2" name="PivotTable7"/>
  </pivotTables>
  <data>
    <tabular pivotCacheId="1712878933">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8FB7B2F-0D0F-46C2-A99C-02B1FB2D362E}" sourceName="Payment_Method">
  <pivotTables>
    <pivotTable tabId="2" name="PivotTable5"/>
    <pivotTable tabId="2" name="PivotTable2"/>
    <pivotTable tabId="2" name="PivotTable4"/>
    <pivotTable tabId="2" name="PivotTable6"/>
    <pivotTable tabId="2" name="PivotTable7"/>
  </pivotTables>
  <data>
    <tabular pivotCacheId="171287893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68127EB-0B8E-4BE1-BFB8-CE39F1DD340B}" cache="Slicer_Sales_Channel" caption="Sales_Channel" rowHeight="257175"/>
  <slicer name="Sale_Date" xr10:uid="{F12FD832-9042-47EC-BC1B-FD78CBC85901}" cache="Slicer_Sale_Date" caption="Sale_Date" rowHeight="257175"/>
  <slicer name="Region" xr10:uid="{A5E149C8-FFD8-4B4B-A138-EE62786E0012}" cache="Slicer_Region" caption="Region" rowHeight="257175"/>
  <slicer name="Payment_Method" xr10:uid="{482E0BC1-3D55-4A97-A7D8-51A898A92E52}" cache="Slicer_Payment_Method" caption="Payment_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1170541-51B4-4E5F-9089-C8F170454882}" cache="Slicer_Sales_Channel" caption="Sales_Channel" rowHeight="257175"/>
  <slicer name="Sale_Date 1" xr10:uid="{3DB61C10-5FEB-4BA1-8B9B-1AE7123E46B6}" cache="Slicer_Sale_Date" caption="Sale_Date" startItem="12" rowHeight="257175"/>
  <slicer name="Region 1" xr10:uid="{02F00C18-79EA-4100-AA09-876ED1D57850}" cache="Slicer_Region" caption="Region" rowHeight="257175"/>
  <slicer name="Payment_Method 1" xr10:uid="{2415E749-2562-4754-84CE-F3B0F00EC527}" cache="Slicer_Payment_Method" caption="Payment_Metho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233A-DBE9-42D9-A71E-8564B290D6D9}">
  <dimension ref="A1:N1001"/>
  <sheetViews>
    <sheetView topLeftCell="A977"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1052</v>
      </c>
      <c r="B2" s="1">
        <v>44960</v>
      </c>
      <c r="C2" t="s">
        <v>14</v>
      </c>
      <c r="D2" t="s">
        <v>15</v>
      </c>
      <c r="E2">
        <v>5053.97</v>
      </c>
      <c r="F2">
        <v>18</v>
      </c>
      <c r="G2" t="s">
        <v>16</v>
      </c>
      <c r="H2">
        <v>152.75</v>
      </c>
      <c r="I2">
        <v>267.22000000000003</v>
      </c>
      <c r="J2" t="s">
        <v>17</v>
      </c>
      <c r="K2">
        <v>0.09</v>
      </c>
      <c r="L2" t="s">
        <v>18</v>
      </c>
      <c r="M2" t="s">
        <v>19</v>
      </c>
      <c r="N2" t="s">
        <v>20</v>
      </c>
    </row>
    <row r="3" spans="1:14" x14ac:dyDescent="0.2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25">
      <c r="A4">
        <v>1015</v>
      </c>
      <c r="B4" s="1">
        <v>45190</v>
      </c>
      <c r="C4" t="s">
        <v>24</v>
      </c>
      <c r="D4" t="s">
        <v>25</v>
      </c>
      <c r="E4">
        <v>4631.2299999999996</v>
      </c>
      <c r="F4">
        <v>30</v>
      </c>
      <c r="G4" t="s">
        <v>26</v>
      </c>
      <c r="H4">
        <v>261.56</v>
      </c>
      <c r="I4">
        <v>371.4</v>
      </c>
      <c r="J4" t="s">
        <v>17</v>
      </c>
      <c r="K4">
        <v>0.2</v>
      </c>
      <c r="L4" t="s">
        <v>27</v>
      </c>
      <c r="M4" t="s">
        <v>22</v>
      </c>
      <c r="N4" t="s">
        <v>28</v>
      </c>
    </row>
    <row r="5" spans="1:14" x14ac:dyDescent="0.25">
      <c r="A5">
        <v>1072</v>
      </c>
      <c r="B5" s="1">
        <v>45162</v>
      </c>
      <c r="C5" t="s">
        <v>14</v>
      </c>
      <c r="D5" t="s">
        <v>25</v>
      </c>
      <c r="E5">
        <v>2167.94</v>
      </c>
      <c r="F5">
        <v>39</v>
      </c>
      <c r="G5" t="s">
        <v>29</v>
      </c>
      <c r="H5">
        <v>4330.03</v>
      </c>
      <c r="I5">
        <v>4467.75</v>
      </c>
      <c r="J5" t="s">
        <v>30</v>
      </c>
      <c r="K5">
        <v>0.02</v>
      </c>
      <c r="L5" t="s">
        <v>31</v>
      </c>
      <c r="M5" t="s">
        <v>22</v>
      </c>
      <c r="N5" t="s">
        <v>32</v>
      </c>
    </row>
    <row r="6" spans="1:14" x14ac:dyDescent="0.25">
      <c r="A6">
        <v>1061</v>
      </c>
      <c r="B6" s="1">
        <v>45009</v>
      </c>
      <c r="C6" t="s">
        <v>33</v>
      </c>
      <c r="D6" t="s">
        <v>34</v>
      </c>
      <c r="E6">
        <v>3750.2</v>
      </c>
      <c r="F6">
        <v>13</v>
      </c>
      <c r="G6" t="s">
        <v>35</v>
      </c>
      <c r="H6">
        <v>637.37</v>
      </c>
      <c r="I6">
        <v>692.71</v>
      </c>
      <c r="J6" t="s">
        <v>30</v>
      </c>
      <c r="K6">
        <v>0.08</v>
      </c>
      <c r="L6" t="s">
        <v>31</v>
      </c>
      <c r="M6" t="s">
        <v>19</v>
      </c>
      <c r="N6" t="s">
        <v>36</v>
      </c>
    </row>
    <row r="7" spans="1:14" x14ac:dyDescent="0.25">
      <c r="A7">
        <v>1021</v>
      </c>
      <c r="B7" s="1">
        <v>44968</v>
      </c>
      <c r="C7" t="s">
        <v>33</v>
      </c>
      <c r="D7" t="s">
        <v>21</v>
      </c>
      <c r="E7">
        <v>3761.15</v>
      </c>
      <c r="F7">
        <v>32</v>
      </c>
      <c r="G7" t="s">
        <v>26</v>
      </c>
      <c r="H7">
        <v>900.79</v>
      </c>
      <c r="I7">
        <v>1106.51</v>
      </c>
      <c r="J7" t="s">
        <v>30</v>
      </c>
      <c r="K7">
        <v>0.21</v>
      </c>
      <c r="L7" t="s">
        <v>18</v>
      </c>
      <c r="M7" t="s">
        <v>19</v>
      </c>
      <c r="N7" t="s">
        <v>37</v>
      </c>
    </row>
    <row r="8" spans="1:14" x14ac:dyDescent="0.2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25">
      <c r="A9">
        <v>1087</v>
      </c>
      <c r="B9" s="1">
        <v>44932</v>
      </c>
      <c r="C9" t="s">
        <v>38</v>
      </c>
      <c r="D9" t="s">
        <v>25</v>
      </c>
      <c r="E9">
        <v>7698.92</v>
      </c>
      <c r="F9">
        <v>46</v>
      </c>
      <c r="G9" t="s">
        <v>16</v>
      </c>
      <c r="H9">
        <v>3702.51</v>
      </c>
      <c r="I9">
        <v>3964.65</v>
      </c>
      <c r="J9" t="s">
        <v>30</v>
      </c>
      <c r="K9">
        <v>0.12</v>
      </c>
      <c r="L9" t="s">
        <v>27</v>
      </c>
      <c r="M9" t="s">
        <v>19</v>
      </c>
      <c r="N9" t="s">
        <v>39</v>
      </c>
    </row>
    <row r="10" spans="1:14" x14ac:dyDescent="0.2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25">
      <c r="A11">
        <v>1075</v>
      </c>
      <c r="B11" s="1">
        <v>45208</v>
      </c>
      <c r="C11" t="s">
        <v>33</v>
      </c>
      <c r="D11" t="s">
        <v>21</v>
      </c>
      <c r="E11">
        <v>8239.58</v>
      </c>
      <c r="F11">
        <v>18</v>
      </c>
      <c r="G11" t="s">
        <v>29</v>
      </c>
      <c r="H11">
        <v>2228.35</v>
      </c>
      <c r="I11">
        <v>2682.34</v>
      </c>
      <c r="J11" t="s">
        <v>30</v>
      </c>
      <c r="K11">
        <v>0.13</v>
      </c>
      <c r="L11" t="s">
        <v>27</v>
      </c>
      <c r="M11" t="s">
        <v>19</v>
      </c>
      <c r="N11" t="s">
        <v>37</v>
      </c>
    </row>
    <row r="12" spans="1:14" x14ac:dyDescent="0.2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2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25">
      <c r="A14">
        <v>1024</v>
      </c>
      <c r="B14" s="1">
        <v>45241</v>
      </c>
      <c r="C14" t="s">
        <v>38</v>
      </c>
      <c r="D14" t="s">
        <v>21</v>
      </c>
      <c r="E14">
        <v>6607.8</v>
      </c>
      <c r="F14">
        <v>21</v>
      </c>
      <c r="G14" t="s">
        <v>26</v>
      </c>
      <c r="H14">
        <v>622.01</v>
      </c>
      <c r="I14">
        <v>641.09</v>
      </c>
      <c r="J14" t="s">
        <v>17</v>
      </c>
      <c r="K14">
        <v>0</v>
      </c>
      <c r="L14" t="s">
        <v>27</v>
      </c>
      <c r="M14" t="s">
        <v>22</v>
      </c>
      <c r="N14" t="s">
        <v>41</v>
      </c>
    </row>
    <row r="15" spans="1:14" x14ac:dyDescent="0.2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2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25">
      <c r="A17">
        <v>1053</v>
      </c>
      <c r="B17" s="1">
        <v>45215</v>
      </c>
      <c r="C17" t="s">
        <v>14</v>
      </c>
      <c r="D17" t="s">
        <v>15</v>
      </c>
      <c r="E17">
        <v>2235.83</v>
      </c>
      <c r="F17">
        <v>48</v>
      </c>
      <c r="G17" t="s">
        <v>16</v>
      </c>
      <c r="H17">
        <v>121.19</v>
      </c>
      <c r="I17">
        <v>487.65</v>
      </c>
      <c r="J17" t="s">
        <v>30</v>
      </c>
      <c r="K17">
        <v>0.18</v>
      </c>
      <c r="L17" t="s">
        <v>18</v>
      </c>
      <c r="M17" t="s">
        <v>22</v>
      </c>
      <c r="N17" t="s">
        <v>20</v>
      </c>
    </row>
    <row r="18" spans="1:14" x14ac:dyDescent="0.2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2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25">
      <c r="A20">
        <v>1030</v>
      </c>
      <c r="B20" s="1">
        <v>45124</v>
      </c>
      <c r="C20" t="s">
        <v>24</v>
      </c>
      <c r="D20" t="s">
        <v>21</v>
      </c>
      <c r="E20">
        <v>3023.48</v>
      </c>
      <c r="F20">
        <v>19</v>
      </c>
      <c r="G20" t="s">
        <v>29</v>
      </c>
      <c r="H20">
        <v>3049.33</v>
      </c>
      <c r="I20">
        <v>3209.22</v>
      </c>
      <c r="J20" t="s">
        <v>17</v>
      </c>
      <c r="K20">
        <v>0.26</v>
      </c>
      <c r="L20" t="s">
        <v>18</v>
      </c>
      <c r="M20" t="s">
        <v>19</v>
      </c>
      <c r="N20" t="s">
        <v>47</v>
      </c>
    </row>
    <row r="21" spans="1:14" x14ac:dyDescent="0.2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25">
      <c r="A22">
        <v>1002</v>
      </c>
      <c r="B22" s="1">
        <v>45038</v>
      </c>
      <c r="C22" t="s">
        <v>38</v>
      </c>
      <c r="D22" t="s">
        <v>15</v>
      </c>
      <c r="E22">
        <v>6551.23</v>
      </c>
      <c r="F22">
        <v>9</v>
      </c>
      <c r="G22" t="s">
        <v>35</v>
      </c>
      <c r="H22">
        <v>4398.16</v>
      </c>
      <c r="I22">
        <v>4439.12</v>
      </c>
      <c r="J22" t="s">
        <v>30</v>
      </c>
      <c r="K22">
        <v>0.18</v>
      </c>
      <c r="L22" t="s">
        <v>27</v>
      </c>
      <c r="M22" t="s">
        <v>19</v>
      </c>
      <c r="N22" t="s">
        <v>40</v>
      </c>
    </row>
    <row r="23" spans="1:14" x14ac:dyDescent="0.25">
      <c r="A23">
        <v>1064</v>
      </c>
      <c r="B23" s="1">
        <v>44930</v>
      </c>
      <c r="C23" t="s">
        <v>38</v>
      </c>
      <c r="D23" t="s">
        <v>34</v>
      </c>
      <c r="E23">
        <v>7412.11</v>
      </c>
      <c r="F23">
        <v>10</v>
      </c>
      <c r="G23" t="s">
        <v>35</v>
      </c>
      <c r="H23">
        <v>4764.96</v>
      </c>
      <c r="I23">
        <v>5074.42</v>
      </c>
      <c r="J23" t="s">
        <v>30</v>
      </c>
      <c r="K23">
        <v>0.12</v>
      </c>
      <c r="L23" t="s">
        <v>18</v>
      </c>
      <c r="M23" t="s">
        <v>19</v>
      </c>
      <c r="N23" t="s">
        <v>48</v>
      </c>
    </row>
    <row r="24" spans="1:14" x14ac:dyDescent="0.25">
      <c r="A24">
        <v>1060</v>
      </c>
      <c r="B24" s="1">
        <v>45276</v>
      </c>
      <c r="C24" t="s">
        <v>38</v>
      </c>
      <c r="D24" t="s">
        <v>34</v>
      </c>
      <c r="E24">
        <v>3224.71</v>
      </c>
      <c r="F24">
        <v>44</v>
      </c>
      <c r="G24" t="s">
        <v>29</v>
      </c>
      <c r="H24">
        <v>3784.96</v>
      </c>
      <c r="I24">
        <v>4276.99</v>
      </c>
      <c r="J24" t="s">
        <v>30</v>
      </c>
      <c r="K24">
        <v>0.06</v>
      </c>
      <c r="L24" t="s">
        <v>27</v>
      </c>
      <c r="M24" t="s">
        <v>22</v>
      </c>
      <c r="N24" t="s">
        <v>48</v>
      </c>
    </row>
    <row r="25" spans="1:14" x14ac:dyDescent="0.2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25">
      <c r="A26">
        <v>1033</v>
      </c>
      <c r="B26" s="1">
        <v>45244</v>
      </c>
      <c r="C26" t="s">
        <v>24</v>
      </c>
      <c r="D26" t="s">
        <v>25</v>
      </c>
      <c r="E26">
        <v>4011.8</v>
      </c>
      <c r="F26">
        <v>23</v>
      </c>
      <c r="G26" t="s">
        <v>16</v>
      </c>
      <c r="H26">
        <v>2981.5</v>
      </c>
      <c r="I26">
        <v>3360.4</v>
      </c>
      <c r="J26" t="s">
        <v>17</v>
      </c>
      <c r="K26">
        <v>0.22</v>
      </c>
      <c r="L26" t="s">
        <v>27</v>
      </c>
      <c r="M26" t="s">
        <v>22</v>
      </c>
      <c r="N26" t="s">
        <v>28</v>
      </c>
    </row>
    <row r="27" spans="1:14" x14ac:dyDescent="0.25">
      <c r="A27">
        <v>1076</v>
      </c>
      <c r="B27" s="1">
        <v>45276</v>
      </c>
      <c r="C27" t="s">
        <v>38</v>
      </c>
      <c r="D27" t="s">
        <v>34</v>
      </c>
      <c r="E27">
        <v>7160.75</v>
      </c>
      <c r="F27">
        <v>30</v>
      </c>
      <c r="G27" t="s">
        <v>29</v>
      </c>
      <c r="H27">
        <v>3519.63</v>
      </c>
      <c r="I27">
        <v>3774.65</v>
      </c>
      <c r="J27" t="s">
        <v>30</v>
      </c>
      <c r="K27">
        <v>0.2</v>
      </c>
      <c r="L27" t="s">
        <v>31</v>
      </c>
      <c r="M27" t="s">
        <v>22</v>
      </c>
      <c r="N27" t="s">
        <v>48</v>
      </c>
    </row>
    <row r="28" spans="1:14" x14ac:dyDescent="0.2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2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2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25">
      <c r="A31">
        <v>1049</v>
      </c>
      <c r="B31" s="1">
        <v>45063</v>
      </c>
      <c r="C31" t="s">
        <v>42</v>
      </c>
      <c r="D31" t="s">
        <v>21</v>
      </c>
      <c r="E31">
        <v>3741.08</v>
      </c>
      <c r="F31">
        <v>1</v>
      </c>
      <c r="G31" t="s">
        <v>16</v>
      </c>
      <c r="H31">
        <v>3290.89</v>
      </c>
      <c r="I31">
        <v>3317.75</v>
      </c>
      <c r="J31" t="s">
        <v>17</v>
      </c>
      <c r="K31">
        <v>0.17</v>
      </c>
      <c r="L31" t="s">
        <v>27</v>
      </c>
      <c r="M31" t="s">
        <v>19</v>
      </c>
      <c r="N31" t="s">
        <v>51</v>
      </c>
    </row>
    <row r="32" spans="1:14" x14ac:dyDescent="0.25">
      <c r="A32">
        <v>1091</v>
      </c>
      <c r="B32" s="1">
        <v>45173</v>
      </c>
      <c r="C32" t="s">
        <v>33</v>
      </c>
      <c r="D32" t="s">
        <v>25</v>
      </c>
      <c r="E32">
        <v>675.11</v>
      </c>
      <c r="F32">
        <v>44</v>
      </c>
      <c r="G32" t="s">
        <v>26</v>
      </c>
      <c r="H32">
        <v>2085.46</v>
      </c>
      <c r="I32">
        <v>2406.58</v>
      </c>
      <c r="J32" t="s">
        <v>17</v>
      </c>
      <c r="K32">
        <v>0.06</v>
      </c>
      <c r="L32" t="s">
        <v>27</v>
      </c>
      <c r="M32" t="s">
        <v>22</v>
      </c>
      <c r="N32" t="s">
        <v>44</v>
      </c>
    </row>
    <row r="33" spans="1:14" x14ac:dyDescent="0.25">
      <c r="A33">
        <v>1059</v>
      </c>
      <c r="B33" s="1">
        <v>45169</v>
      </c>
      <c r="C33" t="s">
        <v>42</v>
      </c>
      <c r="D33" t="s">
        <v>15</v>
      </c>
      <c r="E33">
        <v>1203.97</v>
      </c>
      <c r="F33">
        <v>35</v>
      </c>
      <c r="G33" t="s">
        <v>26</v>
      </c>
      <c r="H33">
        <v>3333.64</v>
      </c>
      <c r="I33">
        <v>3764.52</v>
      </c>
      <c r="J33" t="s">
        <v>17</v>
      </c>
      <c r="K33">
        <v>0.02</v>
      </c>
      <c r="L33" t="s">
        <v>31</v>
      </c>
      <c r="M33" t="s">
        <v>19</v>
      </c>
      <c r="N33" t="s">
        <v>49</v>
      </c>
    </row>
    <row r="34" spans="1:14" x14ac:dyDescent="0.2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25">
      <c r="A35">
        <v>1092</v>
      </c>
      <c r="B35" s="1">
        <v>44966</v>
      </c>
      <c r="C35" t="s">
        <v>24</v>
      </c>
      <c r="D35" t="s">
        <v>21</v>
      </c>
      <c r="E35">
        <v>2749.17</v>
      </c>
      <c r="F35">
        <v>34</v>
      </c>
      <c r="G35" t="s">
        <v>16</v>
      </c>
      <c r="H35">
        <v>2037.41</v>
      </c>
      <c r="I35">
        <v>2238.65</v>
      </c>
      <c r="J35" t="s">
        <v>30</v>
      </c>
      <c r="K35">
        <v>0.3</v>
      </c>
      <c r="L35" t="s">
        <v>31</v>
      </c>
      <c r="M35" t="s">
        <v>19</v>
      </c>
      <c r="N35" t="s">
        <v>47</v>
      </c>
    </row>
    <row r="36" spans="1:14" x14ac:dyDescent="0.25">
      <c r="A36">
        <v>1060</v>
      </c>
      <c r="B36" s="1">
        <v>45155</v>
      </c>
      <c r="C36" t="s">
        <v>14</v>
      </c>
      <c r="D36" t="s">
        <v>34</v>
      </c>
      <c r="E36">
        <v>8371.25</v>
      </c>
      <c r="F36">
        <v>16</v>
      </c>
      <c r="G36" t="s">
        <v>29</v>
      </c>
      <c r="H36">
        <v>3975.99</v>
      </c>
      <c r="I36">
        <v>4422.59</v>
      </c>
      <c r="J36" t="s">
        <v>30</v>
      </c>
      <c r="K36">
        <v>0.24</v>
      </c>
      <c r="L36" t="s">
        <v>18</v>
      </c>
      <c r="M36" t="s">
        <v>19</v>
      </c>
      <c r="N36" t="s">
        <v>46</v>
      </c>
    </row>
    <row r="37" spans="1:14" x14ac:dyDescent="0.2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25">
      <c r="A38">
        <v>1015</v>
      </c>
      <c r="B38" s="1">
        <v>45149</v>
      </c>
      <c r="C38" t="s">
        <v>38</v>
      </c>
      <c r="D38" t="s">
        <v>34</v>
      </c>
      <c r="E38">
        <v>3853.03</v>
      </c>
      <c r="F38">
        <v>32</v>
      </c>
      <c r="G38" t="s">
        <v>16</v>
      </c>
      <c r="H38">
        <v>970.51</v>
      </c>
      <c r="I38">
        <v>1330.84</v>
      </c>
      <c r="J38" t="s">
        <v>17</v>
      </c>
      <c r="K38">
        <v>0.06</v>
      </c>
      <c r="L38" t="s">
        <v>18</v>
      </c>
      <c r="M38" t="s">
        <v>22</v>
      </c>
      <c r="N38" t="s">
        <v>48</v>
      </c>
    </row>
    <row r="39" spans="1:14" x14ac:dyDescent="0.2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2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25">
      <c r="A41">
        <v>1047</v>
      </c>
      <c r="B41" s="1">
        <v>45146</v>
      </c>
      <c r="C41" t="s">
        <v>24</v>
      </c>
      <c r="D41" t="s">
        <v>15</v>
      </c>
      <c r="E41">
        <v>1331.25</v>
      </c>
      <c r="F41">
        <v>33</v>
      </c>
      <c r="G41" t="s">
        <v>35</v>
      </c>
      <c r="H41">
        <v>1341.55</v>
      </c>
      <c r="I41">
        <v>1427.21</v>
      </c>
      <c r="J41" t="s">
        <v>17</v>
      </c>
      <c r="K41">
        <v>0.15</v>
      </c>
      <c r="L41" t="s">
        <v>31</v>
      </c>
      <c r="M41" t="s">
        <v>19</v>
      </c>
      <c r="N41" t="s">
        <v>45</v>
      </c>
    </row>
    <row r="42" spans="1:14" x14ac:dyDescent="0.2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2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25">
      <c r="A44">
        <v>1055</v>
      </c>
      <c r="B44" s="1">
        <v>45261</v>
      </c>
      <c r="C44" t="s">
        <v>33</v>
      </c>
      <c r="D44" t="s">
        <v>21</v>
      </c>
      <c r="E44">
        <v>4102.47</v>
      </c>
      <c r="F44">
        <v>8</v>
      </c>
      <c r="G44" t="s">
        <v>16</v>
      </c>
      <c r="H44">
        <v>3513</v>
      </c>
      <c r="I44">
        <v>3838.42</v>
      </c>
      <c r="J44" t="s">
        <v>17</v>
      </c>
      <c r="K44">
        <v>0.13</v>
      </c>
      <c r="L44" t="s">
        <v>27</v>
      </c>
      <c r="M44" t="s">
        <v>19</v>
      </c>
      <c r="N44" t="s">
        <v>37</v>
      </c>
    </row>
    <row r="45" spans="1:14" x14ac:dyDescent="0.25">
      <c r="A45">
        <v>1064</v>
      </c>
      <c r="B45" s="1">
        <v>45060</v>
      </c>
      <c r="C45" t="s">
        <v>14</v>
      </c>
      <c r="D45" t="s">
        <v>25</v>
      </c>
      <c r="E45">
        <v>5356.28</v>
      </c>
      <c r="F45">
        <v>8</v>
      </c>
      <c r="G45" t="s">
        <v>35</v>
      </c>
      <c r="H45">
        <v>4271.99</v>
      </c>
      <c r="I45">
        <v>4417.79</v>
      </c>
      <c r="J45" t="s">
        <v>17</v>
      </c>
      <c r="K45">
        <v>0.04</v>
      </c>
      <c r="L45" t="s">
        <v>18</v>
      </c>
      <c r="M45" t="s">
        <v>19</v>
      </c>
      <c r="N45" t="s">
        <v>32</v>
      </c>
    </row>
    <row r="46" spans="1:14" x14ac:dyDescent="0.2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25">
      <c r="A47">
        <v>1051</v>
      </c>
      <c r="B47" s="1">
        <v>45020</v>
      </c>
      <c r="C47" t="s">
        <v>14</v>
      </c>
      <c r="D47" t="s">
        <v>34</v>
      </c>
      <c r="E47">
        <v>198.25</v>
      </c>
      <c r="F47">
        <v>12</v>
      </c>
      <c r="G47" t="s">
        <v>35</v>
      </c>
      <c r="H47">
        <v>3544.48</v>
      </c>
      <c r="I47">
        <v>3723.66</v>
      </c>
      <c r="J47" t="s">
        <v>17</v>
      </c>
      <c r="K47">
        <v>0.19</v>
      </c>
      <c r="L47" t="s">
        <v>18</v>
      </c>
      <c r="M47" t="s">
        <v>19</v>
      </c>
      <c r="N47" t="s">
        <v>46</v>
      </c>
    </row>
    <row r="48" spans="1:14" x14ac:dyDescent="0.2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25">
      <c r="A49">
        <v>1021</v>
      </c>
      <c r="B49" s="1">
        <v>45120</v>
      </c>
      <c r="C49" t="s">
        <v>14</v>
      </c>
      <c r="D49" t="s">
        <v>21</v>
      </c>
      <c r="E49">
        <v>9638.64</v>
      </c>
      <c r="F49">
        <v>43</v>
      </c>
      <c r="G49" t="s">
        <v>16</v>
      </c>
      <c r="H49">
        <v>4154.3</v>
      </c>
      <c r="I49">
        <v>4469.07</v>
      </c>
      <c r="J49" t="s">
        <v>17</v>
      </c>
      <c r="K49">
        <v>0.23</v>
      </c>
      <c r="L49" t="s">
        <v>18</v>
      </c>
      <c r="M49" t="s">
        <v>22</v>
      </c>
      <c r="N49" t="s">
        <v>23</v>
      </c>
    </row>
    <row r="50" spans="1:14" x14ac:dyDescent="0.2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25">
      <c r="A51">
        <v>1039</v>
      </c>
      <c r="B51" s="1">
        <v>45129</v>
      </c>
      <c r="C51" t="s">
        <v>42</v>
      </c>
      <c r="D51" t="s">
        <v>34</v>
      </c>
      <c r="E51">
        <v>6807.67</v>
      </c>
      <c r="F51">
        <v>42</v>
      </c>
      <c r="G51" t="s">
        <v>29</v>
      </c>
      <c r="H51">
        <v>3120.19</v>
      </c>
      <c r="I51">
        <v>3600.14</v>
      </c>
      <c r="J51" t="s">
        <v>17</v>
      </c>
      <c r="K51">
        <v>0.19</v>
      </c>
      <c r="L51" t="s">
        <v>31</v>
      </c>
      <c r="M51" t="s">
        <v>22</v>
      </c>
      <c r="N51" t="s">
        <v>52</v>
      </c>
    </row>
    <row r="52" spans="1:14" x14ac:dyDescent="0.2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2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2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25">
      <c r="A55">
        <v>1060</v>
      </c>
      <c r="B55" s="1">
        <v>45059</v>
      </c>
      <c r="C55" t="s">
        <v>33</v>
      </c>
      <c r="D55" t="s">
        <v>21</v>
      </c>
      <c r="E55">
        <v>5260.83</v>
      </c>
      <c r="F55">
        <v>31</v>
      </c>
      <c r="G55" t="s">
        <v>35</v>
      </c>
      <c r="H55">
        <v>3161.4</v>
      </c>
      <c r="I55">
        <v>3339.66</v>
      </c>
      <c r="J55" t="s">
        <v>17</v>
      </c>
      <c r="K55">
        <v>0.02</v>
      </c>
      <c r="L55" t="s">
        <v>27</v>
      </c>
      <c r="M55" t="s">
        <v>19</v>
      </c>
      <c r="N55" t="s">
        <v>37</v>
      </c>
    </row>
    <row r="56" spans="1:14" x14ac:dyDescent="0.2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25">
      <c r="A57">
        <v>1009</v>
      </c>
      <c r="B57" s="1">
        <v>45044</v>
      </c>
      <c r="C57" t="s">
        <v>42</v>
      </c>
      <c r="D57" t="s">
        <v>15</v>
      </c>
      <c r="E57">
        <v>1342.95</v>
      </c>
      <c r="F57">
        <v>33</v>
      </c>
      <c r="G57" t="s">
        <v>29</v>
      </c>
      <c r="H57">
        <v>2278.9</v>
      </c>
      <c r="I57">
        <v>2626.9</v>
      </c>
      <c r="J57" t="s">
        <v>30</v>
      </c>
      <c r="K57">
        <v>0.05</v>
      </c>
      <c r="L57" t="s">
        <v>31</v>
      </c>
      <c r="M57" t="s">
        <v>19</v>
      </c>
      <c r="N57" t="s">
        <v>49</v>
      </c>
    </row>
    <row r="58" spans="1:14" x14ac:dyDescent="0.2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25">
      <c r="A59">
        <v>1053</v>
      </c>
      <c r="B59" s="1">
        <v>45201</v>
      </c>
      <c r="C59" t="s">
        <v>24</v>
      </c>
      <c r="D59" t="s">
        <v>34</v>
      </c>
      <c r="E59">
        <v>7724.57</v>
      </c>
      <c r="F59">
        <v>29</v>
      </c>
      <c r="G59" t="s">
        <v>35</v>
      </c>
      <c r="H59">
        <v>3741.3</v>
      </c>
      <c r="I59">
        <v>4061.04</v>
      </c>
      <c r="J59" t="s">
        <v>17</v>
      </c>
      <c r="K59">
        <v>0.21</v>
      </c>
      <c r="L59" t="s">
        <v>31</v>
      </c>
      <c r="M59" t="s">
        <v>19</v>
      </c>
      <c r="N59" t="s">
        <v>50</v>
      </c>
    </row>
    <row r="60" spans="1:14" x14ac:dyDescent="0.2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25">
      <c r="A61">
        <v>1084</v>
      </c>
      <c r="B61" s="1">
        <v>45151</v>
      </c>
      <c r="C61" t="s">
        <v>42</v>
      </c>
      <c r="D61" t="s">
        <v>21</v>
      </c>
      <c r="E61">
        <v>1290.05</v>
      </c>
      <c r="F61">
        <v>21</v>
      </c>
      <c r="G61" t="s">
        <v>16</v>
      </c>
      <c r="H61">
        <v>3497.98</v>
      </c>
      <c r="I61">
        <v>3765.31</v>
      </c>
      <c r="J61" t="s">
        <v>30</v>
      </c>
      <c r="K61">
        <v>0.08</v>
      </c>
      <c r="L61" t="s">
        <v>18</v>
      </c>
      <c r="M61" t="s">
        <v>19</v>
      </c>
      <c r="N61" t="s">
        <v>51</v>
      </c>
    </row>
    <row r="62" spans="1:14" x14ac:dyDescent="0.2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2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25">
      <c r="A64">
        <v>1071</v>
      </c>
      <c r="B64" s="1">
        <v>45066</v>
      </c>
      <c r="C64" t="s">
        <v>38</v>
      </c>
      <c r="D64" t="s">
        <v>21</v>
      </c>
      <c r="E64">
        <v>3003.76</v>
      </c>
      <c r="F64">
        <v>6</v>
      </c>
      <c r="G64" t="s">
        <v>16</v>
      </c>
      <c r="H64">
        <v>2831.23</v>
      </c>
      <c r="I64">
        <v>3206.98</v>
      </c>
      <c r="J64" t="s">
        <v>17</v>
      </c>
      <c r="K64">
        <v>0.06</v>
      </c>
      <c r="L64" t="s">
        <v>27</v>
      </c>
      <c r="M64" t="s">
        <v>22</v>
      </c>
      <c r="N64" t="s">
        <v>41</v>
      </c>
    </row>
    <row r="65" spans="1:14" x14ac:dyDescent="0.25">
      <c r="A65">
        <v>1044</v>
      </c>
      <c r="B65" s="1">
        <v>44973</v>
      </c>
      <c r="C65" t="s">
        <v>24</v>
      </c>
      <c r="D65" t="s">
        <v>25</v>
      </c>
      <c r="E65">
        <v>7754.1</v>
      </c>
      <c r="F65">
        <v>22</v>
      </c>
      <c r="G65" t="s">
        <v>26</v>
      </c>
      <c r="H65">
        <v>3373.46</v>
      </c>
      <c r="I65">
        <v>3454.76</v>
      </c>
      <c r="J65" t="s">
        <v>17</v>
      </c>
      <c r="K65">
        <v>0.22</v>
      </c>
      <c r="L65" t="s">
        <v>27</v>
      </c>
      <c r="M65" t="s">
        <v>22</v>
      </c>
      <c r="N65" t="s">
        <v>28</v>
      </c>
    </row>
    <row r="66" spans="1:14" x14ac:dyDescent="0.2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25">
      <c r="A67">
        <v>1047</v>
      </c>
      <c r="B67" s="1">
        <v>45016</v>
      </c>
      <c r="C67" t="s">
        <v>42</v>
      </c>
      <c r="D67" t="s">
        <v>34</v>
      </c>
      <c r="E67">
        <v>3546.15</v>
      </c>
      <c r="F67">
        <v>37</v>
      </c>
      <c r="G67" t="s">
        <v>35</v>
      </c>
      <c r="H67">
        <v>3114.88</v>
      </c>
      <c r="I67">
        <v>3256.78</v>
      </c>
      <c r="J67" t="s">
        <v>17</v>
      </c>
      <c r="K67">
        <v>0.26</v>
      </c>
      <c r="L67" t="s">
        <v>31</v>
      </c>
      <c r="M67" t="s">
        <v>19</v>
      </c>
      <c r="N67" t="s">
        <v>52</v>
      </c>
    </row>
    <row r="68" spans="1:14" x14ac:dyDescent="0.2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25">
      <c r="A69">
        <v>1078</v>
      </c>
      <c r="B69" s="1">
        <v>45246</v>
      </c>
      <c r="C69" t="s">
        <v>24</v>
      </c>
      <c r="D69" t="s">
        <v>34</v>
      </c>
      <c r="E69">
        <v>113.4</v>
      </c>
      <c r="F69">
        <v>8</v>
      </c>
      <c r="G69" t="s">
        <v>16</v>
      </c>
      <c r="H69">
        <v>3459.61</v>
      </c>
      <c r="I69">
        <v>3657.23</v>
      </c>
      <c r="J69" t="s">
        <v>17</v>
      </c>
      <c r="K69">
        <v>0.03</v>
      </c>
      <c r="L69" t="s">
        <v>27</v>
      </c>
      <c r="M69" t="s">
        <v>19</v>
      </c>
      <c r="N69" t="s">
        <v>50</v>
      </c>
    </row>
    <row r="70" spans="1:14" x14ac:dyDescent="0.25">
      <c r="A70">
        <v>1081</v>
      </c>
      <c r="B70" s="1">
        <v>44964</v>
      </c>
      <c r="C70" t="s">
        <v>24</v>
      </c>
      <c r="D70" t="s">
        <v>34</v>
      </c>
      <c r="E70">
        <v>3068.03</v>
      </c>
      <c r="F70">
        <v>41</v>
      </c>
      <c r="G70" t="s">
        <v>16</v>
      </c>
      <c r="H70">
        <v>2782.08</v>
      </c>
      <c r="I70">
        <v>2879.24</v>
      </c>
      <c r="J70" t="s">
        <v>30</v>
      </c>
      <c r="K70">
        <v>0.21</v>
      </c>
      <c r="L70" t="s">
        <v>27</v>
      </c>
      <c r="M70" t="s">
        <v>19</v>
      </c>
      <c r="N70" t="s">
        <v>50</v>
      </c>
    </row>
    <row r="71" spans="1:14" x14ac:dyDescent="0.2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25">
      <c r="A72">
        <v>1050</v>
      </c>
      <c r="B72" s="1">
        <v>45065</v>
      </c>
      <c r="C72" t="s">
        <v>33</v>
      </c>
      <c r="D72" t="s">
        <v>34</v>
      </c>
      <c r="E72">
        <v>9744.52</v>
      </c>
      <c r="F72">
        <v>35</v>
      </c>
      <c r="G72" t="s">
        <v>29</v>
      </c>
      <c r="H72">
        <v>2158.69</v>
      </c>
      <c r="I72">
        <v>2384.38</v>
      </c>
      <c r="J72" t="s">
        <v>17</v>
      </c>
      <c r="K72">
        <v>0.09</v>
      </c>
      <c r="L72" t="s">
        <v>27</v>
      </c>
      <c r="M72" t="s">
        <v>22</v>
      </c>
      <c r="N72" t="s">
        <v>36</v>
      </c>
    </row>
    <row r="73" spans="1:14" x14ac:dyDescent="0.25">
      <c r="A73">
        <v>1004</v>
      </c>
      <c r="B73" s="1">
        <v>45282</v>
      </c>
      <c r="C73" t="s">
        <v>38</v>
      </c>
      <c r="D73" t="s">
        <v>15</v>
      </c>
      <c r="E73">
        <v>8485.9</v>
      </c>
      <c r="F73">
        <v>11</v>
      </c>
      <c r="G73" t="s">
        <v>29</v>
      </c>
      <c r="H73">
        <v>4840.33</v>
      </c>
      <c r="I73">
        <v>4884.29</v>
      </c>
      <c r="J73" t="s">
        <v>30</v>
      </c>
      <c r="K73">
        <v>0.13</v>
      </c>
      <c r="L73" t="s">
        <v>18</v>
      </c>
      <c r="M73" t="s">
        <v>19</v>
      </c>
      <c r="N73" t="s">
        <v>40</v>
      </c>
    </row>
    <row r="74" spans="1:14" x14ac:dyDescent="0.25">
      <c r="A74">
        <v>1002</v>
      </c>
      <c r="B74" s="1">
        <v>45259</v>
      </c>
      <c r="C74" t="s">
        <v>24</v>
      </c>
      <c r="D74" t="s">
        <v>15</v>
      </c>
      <c r="E74">
        <v>333.59</v>
      </c>
      <c r="F74">
        <v>24</v>
      </c>
      <c r="G74" t="s">
        <v>16</v>
      </c>
      <c r="H74">
        <v>3305.94</v>
      </c>
      <c r="I74">
        <v>3599.27</v>
      </c>
      <c r="J74" t="s">
        <v>30</v>
      </c>
      <c r="K74">
        <v>0.09</v>
      </c>
      <c r="L74" t="s">
        <v>31</v>
      </c>
      <c r="M74" t="s">
        <v>22</v>
      </c>
      <c r="N74" t="s">
        <v>45</v>
      </c>
    </row>
    <row r="75" spans="1:14" x14ac:dyDescent="0.25">
      <c r="A75">
        <v>1006</v>
      </c>
      <c r="B75" s="1">
        <v>45185</v>
      </c>
      <c r="C75" t="s">
        <v>14</v>
      </c>
      <c r="D75" t="s">
        <v>15</v>
      </c>
      <c r="E75">
        <v>8995.75</v>
      </c>
      <c r="F75">
        <v>49</v>
      </c>
      <c r="G75" t="s">
        <v>26</v>
      </c>
      <c r="H75">
        <v>2843.76</v>
      </c>
      <c r="I75">
        <v>3146.6</v>
      </c>
      <c r="J75" t="s">
        <v>30</v>
      </c>
      <c r="K75">
        <v>0.08</v>
      </c>
      <c r="L75" t="s">
        <v>18</v>
      </c>
      <c r="M75" t="s">
        <v>22</v>
      </c>
      <c r="N75" t="s">
        <v>20</v>
      </c>
    </row>
    <row r="76" spans="1:14" x14ac:dyDescent="0.2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25">
      <c r="A77">
        <v>1004</v>
      </c>
      <c r="B77" s="1">
        <v>45104</v>
      </c>
      <c r="C77" t="s">
        <v>42</v>
      </c>
      <c r="D77" t="s">
        <v>21</v>
      </c>
      <c r="E77">
        <v>7825.72</v>
      </c>
      <c r="F77">
        <v>2</v>
      </c>
      <c r="G77" t="s">
        <v>35</v>
      </c>
      <c r="H77">
        <v>2953.23</v>
      </c>
      <c r="I77">
        <v>2977.52</v>
      </c>
      <c r="J77" t="s">
        <v>17</v>
      </c>
      <c r="K77">
        <v>0.11</v>
      </c>
      <c r="L77" t="s">
        <v>31</v>
      </c>
      <c r="M77" t="s">
        <v>22</v>
      </c>
      <c r="N77" t="s">
        <v>51</v>
      </c>
    </row>
    <row r="78" spans="1:14" x14ac:dyDescent="0.25">
      <c r="A78">
        <v>1054</v>
      </c>
      <c r="B78" s="1">
        <v>44936</v>
      </c>
      <c r="C78" t="s">
        <v>38</v>
      </c>
      <c r="D78" t="s">
        <v>25</v>
      </c>
      <c r="E78">
        <v>4634.16</v>
      </c>
      <c r="F78">
        <v>40</v>
      </c>
      <c r="G78" t="s">
        <v>16</v>
      </c>
      <c r="H78">
        <v>2654.11</v>
      </c>
      <c r="I78">
        <v>2929.32</v>
      </c>
      <c r="J78" t="s">
        <v>17</v>
      </c>
      <c r="K78">
        <v>0.08</v>
      </c>
      <c r="L78" t="s">
        <v>18</v>
      </c>
      <c r="M78" t="s">
        <v>19</v>
      </c>
      <c r="N78" t="s">
        <v>39</v>
      </c>
    </row>
    <row r="79" spans="1:14" x14ac:dyDescent="0.25">
      <c r="A79">
        <v>1093</v>
      </c>
      <c r="B79" s="1">
        <v>45187</v>
      </c>
      <c r="C79" t="s">
        <v>24</v>
      </c>
      <c r="D79" t="s">
        <v>21</v>
      </c>
      <c r="E79">
        <v>4040.25</v>
      </c>
      <c r="F79">
        <v>19</v>
      </c>
      <c r="G79" t="s">
        <v>35</v>
      </c>
      <c r="H79">
        <v>3808.59</v>
      </c>
      <c r="I79">
        <v>3844.51</v>
      </c>
      <c r="J79" t="s">
        <v>30</v>
      </c>
      <c r="K79">
        <v>0.21</v>
      </c>
      <c r="L79" t="s">
        <v>31</v>
      </c>
      <c r="M79" t="s">
        <v>19</v>
      </c>
      <c r="N79" t="s">
        <v>47</v>
      </c>
    </row>
    <row r="80" spans="1:14" x14ac:dyDescent="0.25">
      <c r="A80">
        <v>1063</v>
      </c>
      <c r="B80" s="1">
        <v>45064</v>
      </c>
      <c r="C80" t="s">
        <v>14</v>
      </c>
      <c r="D80" t="s">
        <v>21</v>
      </c>
      <c r="E80">
        <v>3098.87</v>
      </c>
      <c r="F80">
        <v>39</v>
      </c>
      <c r="G80" t="s">
        <v>26</v>
      </c>
      <c r="H80">
        <v>3577.69</v>
      </c>
      <c r="I80">
        <v>3931.25</v>
      </c>
      <c r="J80" t="s">
        <v>17</v>
      </c>
      <c r="K80">
        <v>0.21</v>
      </c>
      <c r="L80" t="s">
        <v>18</v>
      </c>
      <c r="M80" t="s">
        <v>22</v>
      </c>
      <c r="N80" t="s">
        <v>23</v>
      </c>
    </row>
    <row r="81" spans="1:14" x14ac:dyDescent="0.25">
      <c r="A81">
        <v>1018</v>
      </c>
      <c r="B81" s="1">
        <v>45098</v>
      </c>
      <c r="C81" t="s">
        <v>38</v>
      </c>
      <c r="D81" t="s">
        <v>15</v>
      </c>
      <c r="E81">
        <v>750.38</v>
      </c>
      <c r="F81">
        <v>28</v>
      </c>
      <c r="G81" t="s">
        <v>29</v>
      </c>
      <c r="H81">
        <v>1006.14</v>
      </c>
      <c r="I81">
        <v>1043.45</v>
      </c>
      <c r="J81" t="s">
        <v>30</v>
      </c>
      <c r="K81">
        <v>0.15</v>
      </c>
      <c r="L81" t="s">
        <v>27</v>
      </c>
      <c r="M81" t="s">
        <v>22</v>
      </c>
      <c r="N81" t="s">
        <v>40</v>
      </c>
    </row>
    <row r="82" spans="1:14" x14ac:dyDescent="0.2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2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2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25">
      <c r="A85">
        <v>1074</v>
      </c>
      <c r="B85" s="1">
        <v>45010</v>
      </c>
      <c r="C85" t="s">
        <v>38</v>
      </c>
      <c r="D85" t="s">
        <v>21</v>
      </c>
      <c r="E85">
        <v>7499.7</v>
      </c>
      <c r="F85">
        <v>38</v>
      </c>
      <c r="G85" t="s">
        <v>26</v>
      </c>
      <c r="H85">
        <v>2610.6</v>
      </c>
      <c r="I85">
        <v>2836.94</v>
      </c>
      <c r="J85" t="s">
        <v>17</v>
      </c>
      <c r="K85">
        <v>0.19</v>
      </c>
      <c r="L85" t="s">
        <v>31</v>
      </c>
      <c r="M85" t="s">
        <v>19</v>
      </c>
      <c r="N85" t="s">
        <v>41</v>
      </c>
    </row>
    <row r="86" spans="1:14" x14ac:dyDescent="0.25">
      <c r="A86">
        <v>1062</v>
      </c>
      <c r="B86" s="1">
        <v>45247</v>
      </c>
      <c r="C86" t="s">
        <v>33</v>
      </c>
      <c r="D86" t="s">
        <v>15</v>
      </c>
      <c r="E86">
        <v>4790.72</v>
      </c>
      <c r="F86">
        <v>28</v>
      </c>
      <c r="G86" t="s">
        <v>29</v>
      </c>
      <c r="H86">
        <v>2094.88</v>
      </c>
      <c r="I86">
        <v>2168.91</v>
      </c>
      <c r="J86" t="s">
        <v>17</v>
      </c>
      <c r="K86">
        <v>0.08</v>
      </c>
      <c r="L86" t="s">
        <v>18</v>
      </c>
      <c r="M86" t="s">
        <v>22</v>
      </c>
      <c r="N86" t="s">
        <v>53</v>
      </c>
    </row>
    <row r="87" spans="1:14" x14ac:dyDescent="0.2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2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2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2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25">
      <c r="A91">
        <v>1015</v>
      </c>
      <c r="B91" s="1">
        <v>45191</v>
      </c>
      <c r="C91" t="s">
        <v>24</v>
      </c>
      <c r="D91" t="s">
        <v>25</v>
      </c>
      <c r="E91">
        <v>9914.15</v>
      </c>
      <c r="F91">
        <v>22</v>
      </c>
      <c r="G91" t="s">
        <v>35</v>
      </c>
      <c r="H91">
        <v>4275.59</v>
      </c>
      <c r="I91">
        <v>4576.72</v>
      </c>
      <c r="J91" t="s">
        <v>17</v>
      </c>
      <c r="K91">
        <v>0.02</v>
      </c>
      <c r="L91" t="s">
        <v>18</v>
      </c>
      <c r="M91" t="s">
        <v>22</v>
      </c>
      <c r="N91" t="s">
        <v>28</v>
      </c>
    </row>
    <row r="92" spans="1:14" x14ac:dyDescent="0.25">
      <c r="A92">
        <v>1072</v>
      </c>
      <c r="B92" s="1">
        <v>44964</v>
      </c>
      <c r="C92" t="s">
        <v>14</v>
      </c>
      <c r="D92" t="s">
        <v>34</v>
      </c>
      <c r="E92">
        <v>5490.38</v>
      </c>
      <c r="F92">
        <v>26</v>
      </c>
      <c r="G92" t="s">
        <v>26</v>
      </c>
      <c r="H92">
        <v>3640.17</v>
      </c>
      <c r="I92">
        <v>4002.63</v>
      </c>
      <c r="J92" t="s">
        <v>30</v>
      </c>
      <c r="K92">
        <v>0.05</v>
      </c>
      <c r="L92" t="s">
        <v>31</v>
      </c>
      <c r="M92" t="s">
        <v>22</v>
      </c>
      <c r="N92" t="s">
        <v>46</v>
      </c>
    </row>
    <row r="93" spans="1:14" x14ac:dyDescent="0.25">
      <c r="A93">
        <v>1078</v>
      </c>
      <c r="B93" s="1">
        <v>45020</v>
      </c>
      <c r="C93" t="s">
        <v>24</v>
      </c>
      <c r="D93" t="s">
        <v>34</v>
      </c>
      <c r="E93">
        <v>9631.41</v>
      </c>
      <c r="F93">
        <v>49</v>
      </c>
      <c r="G93" t="s">
        <v>16</v>
      </c>
      <c r="H93">
        <v>1833.95</v>
      </c>
      <c r="I93">
        <v>2147.14</v>
      </c>
      <c r="J93" t="s">
        <v>17</v>
      </c>
      <c r="K93">
        <v>0.18</v>
      </c>
      <c r="L93" t="s">
        <v>31</v>
      </c>
      <c r="M93" t="s">
        <v>22</v>
      </c>
      <c r="N93" t="s">
        <v>50</v>
      </c>
    </row>
    <row r="94" spans="1:14" x14ac:dyDescent="0.25">
      <c r="A94">
        <v>1087</v>
      </c>
      <c r="B94" s="1">
        <v>45021</v>
      </c>
      <c r="C94" t="s">
        <v>38</v>
      </c>
      <c r="D94" t="s">
        <v>34</v>
      </c>
      <c r="E94">
        <v>848.49</v>
      </c>
      <c r="F94">
        <v>43</v>
      </c>
      <c r="G94" t="s">
        <v>16</v>
      </c>
      <c r="H94">
        <v>481</v>
      </c>
      <c r="I94">
        <v>531.02</v>
      </c>
      <c r="J94" t="s">
        <v>30</v>
      </c>
      <c r="K94">
        <v>0.17</v>
      </c>
      <c r="L94" t="s">
        <v>18</v>
      </c>
      <c r="M94" t="s">
        <v>19</v>
      </c>
      <c r="N94" t="s">
        <v>48</v>
      </c>
    </row>
    <row r="95" spans="1:14" x14ac:dyDescent="0.2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25">
      <c r="A96">
        <v>1040</v>
      </c>
      <c r="B96" s="1">
        <v>44995</v>
      </c>
      <c r="C96" t="s">
        <v>33</v>
      </c>
      <c r="D96" t="s">
        <v>34</v>
      </c>
      <c r="E96">
        <v>2331.27</v>
      </c>
      <c r="F96">
        <v>13</v>
      </c>
      <c r="G96" t="s">
        <v>29</v>
      </c>
      <c r="H96">
        <v>2750.18</v>
      </c>
      <c r="I96">
        <v>2882.85</v>
      </c>
      <c r="J96" t="s">
        <v>17</v>
      </c>
      <c r="K96">
        <v>0.24</v>
      </c>
      <c r="L96" t="s">
        <v>31</v>
      </c>
      <c r="M96" t="s">
        <v>19</v>
      </c>
      <c r="N96" t="s">
        <v>36</v>
      </c>
    </row>
    <row r="97" spans="1:14" x14ac:dyDescent="0.25">
      <c r="A97">
        <v>1085</v>
      </c>
      <c r="B97" s="1">
        <v>45244</v>
      </c>
      <c r="C97" t="s">
        <v>33</v>
      </c>
      <c r="D97" t="s">
        <v>25</v>
      </c>
      <c r="E97">
        <v>2038.75</v>
      </c>
      <c r="F97">
        <v>32</v>
      </c>
      <c r="G97" t="s">
        <v>16</v>
      </c>
      <c r="H97">
        <v>1074.93</v>
      </c>
      <c r="I97">
        <v>1492.48</v>
      </c>
      <c r="J97" t="s">
        <v>17</v>
      </c>
      <c r="K97">
        <v>0.04</v>
      </c>
      <c r="L97" t="s">
        <v>31</v>
      </c>
      <c r="M97" t="s">
        <v>22</v>
      </c>
      <c r="N97" t="s">
        <v>44</v>
      </c>
    </row>
    <row r="98" spans="1:14" x14ac:dyDescent="0.25">
      <c r="A98">
        <v>1080</v>
      </c>
      <c r="B98" s="1">
        <v>45162</v>
      </c>
      <c r="C98" t="s">
        <v>14</v>
      </c>
      <c r="D98" t="s">
        <v>21</v>
      </c>
      <c r="E98">
        <v>1493.95</v>
      </c>
      <c r="F98">
        <v>17</v>
      </c>
      <c r="G98" t="s">
        <v>16</v>
      </c>
      <c r="H98">
        <v>2742.67</v>
      </c>
      <c r="I98">
        <v>2979.64</v>
      </c>
      <c r="J98" t="s">
        <v>17</v>
      </c>
      <c r="K98">
        <v>0.01</v>
      </c>
      <c r="L98" t="s">
        <v>18</v>
      </c>
      <c r="M98" t="s">
        <v>22</v>
      </c>
      <c r="N98" t="s">
        <v>23</v>
      </c>
    </row>
    <row r="99" spans="1:14" x14ac:dyDescent="0.25">
      <c r="A99">
        <v>1082</v>
      </c>
      <c r="B99" s="1">
        <v>45260</v>
      </c>
      <c r="C99" t="s">
        <v>42</v>
      </c>
      <c r="D99" t="s">
        <v>25</v>
      </c>
      <c r="E99">
        <v>6261.9</v>
      </c>
      <c r="F99">
        <v>41</v>
      </c>
      <c r="G99" t="s">
        <v>35</v>
      </c>
      <c r="H99">
        <v>1196.42</v>
      </c>
      <c r="I99">
        <v>1444.97</v>
      </c>
      <c r="J99" t="s">
        <v>17</v>
      </c>
      <c r="K99">
        <v>0.21</v>
      </c>
      <c r="L99" t="s">
        <v>27</v>
      </c>
      <c r="M99" t="s">
        <v>19</v>
      </c>
      <c r="N99" t="s">
        <v>43</v>
      </c>
    </row>
    <row r="100" spans="1:14" x14ac:dyDescent="0.2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2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2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2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2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2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2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2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2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2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2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2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2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2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2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2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2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2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2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2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2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2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2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2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2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2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2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2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2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2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2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2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2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2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2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2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2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2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2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2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2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2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2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2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2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2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2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2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2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2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2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2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2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2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2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2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2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2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2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2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2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2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2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2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2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2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2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2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2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2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2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2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2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2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2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2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2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2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2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2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2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2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2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2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2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2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2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2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2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2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2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2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2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2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2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2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2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2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2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2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2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2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2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2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2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2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2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2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2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2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2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2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2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2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2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2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2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2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2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2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2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2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2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2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2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2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2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2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2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2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2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2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2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2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2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2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2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2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2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2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2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2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2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2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2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2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2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2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2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2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2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2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2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2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2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2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2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2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2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2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2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2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2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2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2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2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2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2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2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2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2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2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2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2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2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2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2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2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2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2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2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2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2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2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2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2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2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2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2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2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2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2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2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2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2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2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2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2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2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2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2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2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2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2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2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2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2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2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2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2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2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2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2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2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2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2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2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2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2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2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2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2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2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2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2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2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2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2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2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2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2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2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2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2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2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2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2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2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2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2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2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2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2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2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2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2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2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2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2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2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2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2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2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2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2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2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2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2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2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2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2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2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2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2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2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2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2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2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2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2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2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2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2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2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2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2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2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2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2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2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2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2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2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2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2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2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2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2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2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2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2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2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2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2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2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2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2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2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2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2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2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2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2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2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2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2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2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2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2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2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2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2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2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2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2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2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2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2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2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2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2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2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2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2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2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2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2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2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2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2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2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2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2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2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2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2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2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2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2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2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2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2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2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2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2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2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2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2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2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2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2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2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2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2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2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2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2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2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2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2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2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2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2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2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2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2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2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2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2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2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2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2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2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2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2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2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2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2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2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2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2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2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2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2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2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2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2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2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2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2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2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2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2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2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2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2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2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2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2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2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2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2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2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2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2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2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2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2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2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2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2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2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2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2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2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2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2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2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2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2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2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2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2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2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2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2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2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2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2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2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2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2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2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2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2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2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2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2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2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2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2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2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2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2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2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2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2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2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2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2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2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2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2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2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2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2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2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2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2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2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2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2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2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2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2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2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2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2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2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2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2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2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2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2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2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2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2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2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2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2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2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2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2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2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2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2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2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2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2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2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2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2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2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2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2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2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2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2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2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2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2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2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2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2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2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2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2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2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2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2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2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2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2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2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2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2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2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2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2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2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2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2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2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2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2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2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2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2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2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2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2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2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2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2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2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2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2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2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2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2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2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2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2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2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2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2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2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2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2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2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2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2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2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2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2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2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2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2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2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2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2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2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2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2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2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2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2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2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2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2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2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2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2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2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2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2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2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2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2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2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2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2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2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2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2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2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2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2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2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2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2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2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2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2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2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2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2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2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2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2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2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2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2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2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2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2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2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2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2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2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2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2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2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2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2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2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2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2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2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2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2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2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2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2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2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2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2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2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2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2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2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2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2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2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2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2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2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2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2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2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2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2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2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2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2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2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2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2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2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2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2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2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2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2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2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2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2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2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2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2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2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2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2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2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2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2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2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2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2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2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2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2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2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2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2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2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2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2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2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2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2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2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2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2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2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2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2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2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2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2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2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2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2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2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2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2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2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2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2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2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2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2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2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2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2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2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2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2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2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2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2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2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2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2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2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2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2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2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2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2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2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2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2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2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2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2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2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2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2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2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2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2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2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2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2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2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2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2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2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2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2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2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2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2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2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2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2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2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2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2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2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2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2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2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2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2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2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2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2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2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2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2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2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2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2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2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2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2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2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2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2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2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2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2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2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2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2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2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2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2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2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2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2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2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2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2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2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2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2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2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2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2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2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2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2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2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2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2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2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2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2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2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2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2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2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2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2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2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2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2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2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2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2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2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2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2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2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2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2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2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2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2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2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2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2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2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2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2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2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2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2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2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2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2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2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2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2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2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2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2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2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2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2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2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2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2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2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2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2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2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2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2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2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2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2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2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2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2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2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2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2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2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2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2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2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2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2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2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2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2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2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2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2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2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2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2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2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2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2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2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2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2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2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2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2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2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2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2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2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2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2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2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2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2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2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2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2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2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2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2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2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2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803E-5773-4D71-A75E-DE3320882D3D}">
  <dimension ref="A1:F48"/>
  <sheetViews>
    <sheetView topLeftCell="A30" workbookViewId="0">
      <selection activeCell="C55" sqref="C55"/>
    </sheetView>
  </sheetViews>
  <sheetFormatPr defaultRowHeight="15" x14ac:dyDescent="0.25"/>
  <cols>
    <col min="1" max="1" width="13.42578125" bestFit="1" customWidth="1"/>
    <col min="2" max="2" width="17" bestFit="1" customWidth="1"/>
    <col min="3" max="3" width="20.5703125" bestFit="1" customWidth="1"/>
    <col min="6" max="6" width="23.85546875" bestFit="1" customWidth="1"/>
  </cols>
  <sheetData>
    <row r="1" spans="1:2" x14ac:dyDescent="0.25">
      <c r="A1" s="2" t="s">
        <v>54</v>
      </c>
      <c r="B1" t="s">
        <v>56</v>
      </c>
    </row>
    <row r="2" spans="1:2" x14ac:dyDescent="0.25">
      <c r="A2" s="3" t="s">
        <v>19</v>
      </c>
      <c r="B2" s="4">
        <v>1360917.6799999983</v>
      </c>
    </row>
    <row r="3" spans="1:2" x14ac:dyDescent="0.25">
      <c r="A3" s="3" t="s">
        <v>22</v>
      </c>
      <c r="B3" s="4">
        <v>1367522.4399999985</v>
      </c>
    </row>
    <row r="4" spans="1:2" x14ac:dyDescent="0.25">
      <c r="A4" s="3" t="s">
        <v>55</v>
      </c>
      <c r="B4" s="4">
        <v>2728440.1199999969</v>
      </c>
    </row>
    <row r="14" spans="1:2" x14ac:dyDescent="0.25">
      <c r="A14" s="2" t="s">
        <v>54</v>
      </c>
      <c r="B14" t="s">
        <v>59</v>
      </c>
    </row>
    <row r="15" spans="1:2" x14ac:dyDescent="0.25">
      <c r="A15" s="3" t="s">
        <v>57</v>
      </c>
      <c r="B15" s="4">
        <v>2473664.9499999997</v>
      </c>
    </row>
    <row r="16" spans="1:2" x14ac:dyDescent="0.25">
      <c r="A16" s="3" t="s">
        <v>58</v>
      </c>
      <c r="B16" s="4">
        <v>1639.6000000000001</v>
      </c>
    </row>
    <row r="17" spans="1:2" x14ac:dyDescent="0.25">
      <c r="A17" s="3" t="s">
        <v>55</v>
      </c>
      <c r="B17" s="4">
        <v>2475304.5499999998</v>
      </c>
    </row>
    <row r="22" spans="1:2" x14ac:dyDescent="0.25">
      <c r="A22" s="2" t="s">
        <v>54</v>
      </c>
      <c r="B22" t="s">
        <v>60</v>
      </c>
    </row>
    <row r="23" spans="1:2" x14ac:dyDescent="0.25">
      <c r="A23" s="3" t="s">
        <v>34</v>
      </c>
      <c r="B23" s="4">
        <v>1259792.93</v>
      </c>
    </row>
    <row r="24" spans="1:2" x14ac:dyDescent="0.25">
      <c r="A24" s="3" t="s">
        <v>15</v>
      </c>
      <c r="B24" s="4">
        <v>1369612.5100000009</v>
      </c>
    </row>
    <row r="25" spans="1:2" x14ac:dyDescent="0.25">
      <c r="A25" s="3" t="s">
        <v>25</v>
      </c>
      <c r="B25" s="4">
        <v>1154250.8600000006</v>
      </c>
    </row>
    <row r="26" spans="1:2" x14ac:dyDescent="0.25">
      <c r="A26" s="3" t="s">
        <v>21</v>
      </c>
      <c r="B26" s="4">
        <v>1235608.9299999997</v>
      </c>
    </row>
    <row r="27" spans="1:2" x14ac:dyDescent="0.25">
      <c r="A27" s="3" t="s">
        <v>55</v>
      </c>
      <c r="B27" s="4">
        <v>5019265.2300000014</v>
      </c>
    </row>
    <row r="33" spans="1:6" x14ac:dyDescent="0.25">
      <c r="A33" s="2" t="s">
        <v>54</v>
      </c>
      <c r="B33" t="s">
        <v>56</v>
      </c>
    </row>
    <row r="34" spans="1:6" x14ac:dyDescent="0.25">
      <c r="A34" s="3" t="s">
        <v>27</v>
      </c>
      <c r="B34" s="4">
        <v>946760.06000000029</v>
      </c>
    </row>
    <row r="35" spans="1:6" x14ac:dyDescent="0.25">
      <c r="A35" s="3" t="s">
        <v>18</v>
      </c>
      <c r="B35" s="4">
        <v>842257.78000000038</v>
      </c>
    </row>
    <row r="36" spans="1:6" x14ac:dyDescent="0.25">
      <c r="A36" s="3" t="s">
        <v>31</v>
      </c>
      <c r="B36" s="4">
        <v>939422.27999999945</v>
      </c>
    </row>
    <row r="37" spans="1:6" x14ac:dyDescent="0.25">
      <c r="A37" s="3" t="s">
        <v>55</v>
      </c>
      <c r="B37" s="4">
        <v>2728440.12</v>
      </c>
    </row>
    <row r="43" spans="1:6" x14ac:dyDescent="0.25">
      <c r="C43" t="s">
        <v>61</v>
      </c>
    </row>
    <row r="44" spans="1:6" x14ac:dyDescent="0.25">
      <c r="C44" s="4">
        <v>25355</v>
      </c>
    </row>
    <row r="45" spans="1:6" x14ac:dyDescent="0.25">
      <c r="F45" t="s">
        <v>62</v>
      </c>
    </row>
    <row r="46" spans="1:6" x14ac:dyDescent="0.25">
      <c r="C46">
        <f>GETPIVOTDATA("Quantity_Sold",$C$43)</f>
        <v>25355</v>
      </c>
      <c r="F46" s="4">
        <v>1000</v>
      </c>
    </row>
    <row r="48" spans="1:6" x14ac:dyDescent="0.25">
      <c r="F48">
        <f>GETPIVOTDATA("Customer_Type",$F$45)</f>
        <v>1000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C07F-2E31-4A91-A015-32B04DA66DD6}">
  <dimension ref="A1"/>
  <sheetViews>
    <sheetView tabSelected="1" zoomScale="28" workbookViewId="0">
      <selection activeCell="N50" sqref="N5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Netcom</dc:creator>
  <cp:lastModifiedBy>Netcom</cp:lastModifiedBy>
  <dcterms:created xsi:type="dcterms:W3CDTF">2025-12-30T07:02:43Z</dcterms:created>
  <dcterms:modified xsi:type="dcterms:W3CDTF">2025-12-30T08:34:11Z</dcterms:modified>
</cp:coreProperties>
</file>